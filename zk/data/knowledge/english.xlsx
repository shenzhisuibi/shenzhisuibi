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工作\物料制作\运营专项\26817中考卷分析\江西英语\"/>
    </mc:Choice>
  </mc:AlternateContent>
  <bookViews>
    <workbookView xWindow="0" yWindow="0" windowWidth="28800" windowHeight="11550"/>
  </bookViews>
  <sheets>
    <sheet name="王树根-江西" sheetId="2" r:id="rId1"/>
  </sheets>
  <calcPr calcId="162913"/>
</workbook>
</file>

<file path=xl/calcChain.xml><?xml version="1.0" encoding="utf-8"?>
<calcChain xmlns="http://schemas.openxmlformats.org/spreadsheetml/2006/main">
  <c r="E85" i="2" l="1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J23" i="2"/>
  <c r="E23" i="2"/>
  <c r="J22" i="2"/>
  <c r="J21" i="2"/>
  <c r="J20" i="2"/>
  <c r="J19" i="2"/>
  <c r="J18" i="2"/>
  <c r="E18" i="2"/>
  <c r="J17" i="2"/>
  <c r="J16" i="2"/>
  <c r="J15" i="2"/>
  <c r="J14" i="2"/>
  <c r="J13" i="2"/>
  <c r="J12" i="2"/>
  <c r="J11" i="2"/>
  <c r="J10" i="2"/>
  <c r="J9" i="2"/>
  <c r="J8" i="2"/>
  <c r="E8" i="2"/>
  <c r="J7" i="2"/>
  <c r="J6" i="2"/>
  <c r="J5" i="2"/>
  <c r="J4" i="2"/>
  <c r="J3" i="2"/>
  <c r="E3" i="2"/>
</calcChain>
</file>

<file path=xl/sharedStrings.xml><?xml version="1.0" encoding="utf-8"?>
<sst xmlns="http://schemas.openxmlformats.org/spreadsheetml/2006/main" count="122" uniqueCount="70">
  <si>
    <t>题型</t>
  </si>
  <si>
    <t>题号</t>
  </si>
  <si>
    <t>知识点</t>
  </si>
  <si>
    <t>分值</t>
  </si>
  <si>
    <t>分值占比</t>
  </si>
  <si>
    <t>序号</t>
  </si>
  <si>
    <t>模块</t>
  </si>
  <si>
    <t>听力理解</t>
  </si>
  <si>
    <t>短对话理解</t>
  </si>
  <si>
    <t>一</t>
  </si>
  <si>
    <t>二</t>
  </si>
  <si>
    <t>长对话理解</t>
  </si>
  <si>
    <t>三</t>
  </si>
  <si>
    <t>四</t>
  </si>
  <si>
    <t>信息转换</t>
  </si>
  <si>
    <t>五</t>
  </si>
  <si>
    <t>名词词义辨析</t>
  </si>
  <si>
    <t>六</t>
  </si>
  <si>
    <t>形容词词义辨析</t>
  </si>
  <si>
    <t>七</t>
  </si>
  <si>
    <t>代词辨析</t>
  </si>
  <si>
    <t>八</t>
  </si>
  <si>
    <t>时态语态</t>
  </si>
  <si>
    <t>九</t>
  </si>
  <si>
    <t>动词词义辨析</t>
  </si>
  <si>
    <t>十</t>
  </si>
  <si>
    <t>连词辨析</t>
  </si>
  <si>
    <t>十一</t>
  </si>
  <si>
    <t>十二</t>
  </si>
  <si>
    <t>动词短语辨析</t>
  </si>
  <si>
    <t>十三</t>
  </si>
  <si>
    <t>十四</t>
  </si>
  <si>
    <t>十五</t>
  </si>
  <si>
    <t>补全对话</t>
  </si>
  <si>
    <t>十六</t>
  </si>
  <si>
    <t>细节理解题</t>
  </si>
  <si>
    <t>十七</t>
  </si>
  <si>
    <t>推理判断题</t>
  </si>
  <si>
    <t>十八</t>
  </si>
  <si>
    <t>词义猜测题</t>
  </si>
  <si>
    <t>十九</t>
  </si>
  <si>
    <t>最佳标题题</t>
  </si>
  <si>
    <t>二十</t>
  </si>
  <si>
    <t>主旨大意题</t>
  </si>
  <si>
    <t>单项填空</t>
  </si>
  <si>
    <t>二十一</t>
  </si>
  <si>
    <t>完形填空A</t>
  </si>
  <si>
    <t>完形填空B</t>
  </si>
  <si>
    <t>阅读理解A</t>
  </si>
  <si>
    <t>阅读理解B</t>
  </si>
  <si>
    <t>阅读理解C</t>
  </si>
  <si>
    <t>阅读理解D</t>
  </si>
  <si>
    <t>书面表达</t>
  </si>
  <si>
    <t>2026江西中考试卷分析-英语（满分120分）</t>
  </si>
  <si>
    <t>2026年江西中考模块总结-英语</t>
  </si>
  <si>
    <t>冠词辨析</t>
  </si>
  <si>
    <t>特殊疑问词</t>
  </si>
  <si>
    <t>副词辨析</t>
  </si>
  <si>
    <t>文章出处题</t>
  </si>
  <si>
    <t>七选五-逻辑梳理</t>
  </si>
  <si>
    <t>建议信</t>
  </si>
  <si>
    <t>动词</t>
  </si>
  <si>
    <t>名词</t>
  </si>
  <si>
    <t>连词</t>
  </si>
  <si>
    <t>七选五</t>
  </si>
  <si>
    <t>逻辑推理</t>
  </si>
  <si>
    <t>情境交际</t>
  </si>
  <si>
    <t>副词</t>
  </si>
  <si>
    <t>代词</t>
  </si>
  <si>
    <t>形容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</si>
</sst>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name val="Microsoft YaHei"/>
    </font>
    <font>
      <b/>
      <sz val="11"/>
      <name val="Microsoft YaHei"/>
      <family val="2"/>
      <charset val="134"/>
    </font>
    <font>
      <b/>
      <sz val="11"/>
      <color rgb="FF000000"/>
      <name val="Microsoft YaHei"/>
      <family val="2"/>
      <charset val="134"/>
    </font>
    <font>
      <sz val="12"/>
      <color rgb="FF000000"/>
      <name val="Microsoft YaHei"/>
      <family val="2"/>
      <charset val="134"/>
    </font>
    <font>
      <sz val="11"/>
      <color rgb="FF000000"/>
      <name val="Microsoft YaHei"/>
      <family val="2"/>
      <charset val="134"/>
    </font>
    <font>
      <sz val="12"/>
      <name val="Microsoft YaHei"/>
      <family val="2"/>
      <charset val="134"/>
    </font>
    <font>
      <sz val="11"/>
      <name val="Microsoft YaHei"/>
      <family val="2"/>
      <charset val="134"/>
    </font>
    <font>
      <sz val="11"/>
      <name val="Microsoft YaHei"/>
      <family val="2"/>
      <charset val="134"/>
    </font>
    <font>
      <sz val="12"/>
      <name val="Microsoft YaHei"/>
      <family val="2"/>
      <charset val="134"/>
    </font>
    <font>
      <sz val="11"/>
      <name val="Microsoft YaHei"/>
      <family val="2"/>
      <charset val="134"/>
    </font>
    <font>
      <sz val="12"/>
      <name val="Microsoft YaHei"/>
      <family val="2"/>
      <charset val="134"/>
    </font>
    <font>
      <sz val="12"/>
      <color rgb="FF000000"/>
      <name val="Microsoft YaHei"/>
      <family val="2"/>
      <charset val="134"/>
    </font>
    <font>
      <sz val="12"/>
      <color rgb="FFFF0000"/>
      <name val="Microsoft YaHei"/>
      <family val="2"/>
      <charset val="134"/>
    </font>
    <font>
      <sz val="9"/>
      <name val="宋体"/>
      <family val="3"/>
      <charset val="134"/>
    </font>
  </fonts>
  <fills count="51">
    <fill>
      <patternFill patternType="none"/>
    </fill>
    <fill>
      <patternFill patternType="gray125"/>
    </fill>
    <fill>
      <patternFill patternType="solid">
        <fgColor rgb="FFFFC9C7"/>
      </patternFill>
    </fill>
    <fill>
      <patternFill patternType="solid">
        <fgColor rgb="FFFFC000"/>
      </patternFill>
    </fill>
    <fill>
      <patternFill patternType="solid">
        <fgColor rgb="FF98D7B6"/>
      </patternFill>
    </fill>
    <fill>
      <patternFill patternType="none"/>
    </fill>
    <fill>
      <patternFill patternType="solid">
        <fgColor rgb="FFEBCEC6"/>
      </patternFill>
    </fill>
    <fill>
      <patternFill patternType="solid">
        <fgColor rgb="FF00A3F5"/>
      </patternFill>
    </fill>
    <fill>
      <patternFill patternType="solid">
        <fgColor rgb="FF99DDFF"/>
      </patternFill>
    </fill>
    <fill>
      <patternFill patternType="solid">
        <fgColor rgb="FFD58EFF"/>
      </patternFill>
    </fill>
    <fill>
      <patternFill patternType="solid">
        <fgColor rgb="FF319B62"/>
      </patternFill>
    </fill>
    <fill>
      <patternFill patternType="solid">
        <fgColor rgb="FF6AA593"/>
      </patternFill>
    </fill>
    <fill>
      <patternFill patternType="solid">
        <fgColor rgb="FFF22C26"/>
      </patternFill>
    </fill>
    <fill>
      <patternFill patternType="solid">
        <fgColor rgb="FFBABAF6"/>
      </patternFill>
    </fill>
    <fill>
      <patternFill patternType="solid">
        <fgColor rgb="FFA38200"/>
      </patternFill>
    </fill>
    <fill>
      <patternFill patternType="solid">
        <fgColor rgb="FFFFF9E3"/>
      </patternFill>
    </fill>
    <fill>
      <patternFill patternType="solid">
        <fgColor rgb="FFED0E62"/>
      </patternFill>
    </fill>
    <fill>
      <patternFill patternType="solid">
        <fgColor rgb="FF93C36D"/>
      </patternFill>
    </fill>
    <fill>
      <patternFill patternType="solid">
        <fgColor rgb="FF7C7979"/>
      </patternFill>
    </fill>
    <fill>
      <patternFill patternType="solid">
        <fgColor rgb="FFC3EAD5"/>
      </patternFill>
    </fill>
    <fill>
      <patternFill patternType="solid">
        <fgColor rgb="FFE75754"/>
      </patternFill>
    </fill>
    <fill>
      <patternFill patternType="solid">
        <fgColor rgb="FFF0AA0C"/>
      </patternFill>
    </fill>
    <fill>
      <patternFill patternType="solid">
        <fgColor rgb="FF48C1AB"/>
      </patternFill>
    </fill>
    <fill>
      <patternFill patternType="solid">
        <fgColor rgb="FFC7DCFF"/>
      </patternFill>
    </fill>
    <fill>
      <patternFill patternType="solid">
        <fgColor rgb="FFE9E9A9"/>
      </patternFill>
    </fill>
    <fill>
      <patternFill patternType="solid">
        <fgColor rgb="FFE4827F"/>
      </patternFill>
    </fill>
    <fill>
      <patternFill patternType="solid">
        <fgColor rgb="FFFFC000"/>
      </patternFill>
    </fill>
    <fill>
      <patternFill patternType="solid">
        <fgColor rgb="FFBABAF6"/>
      </patternFill>
    </fill>
    <fill>
      <patternFill patternType="solid">
        <fgColor rgb="FFED0E62"/>
      </patternFill>
    </fill>
    <fill>
      <patternFill patternType="solid">
        <fgColor rgb="FF93C36D"/>
      </patternFill>
    </fill>
    <fill>
      <patternFill patternType="solid">
        <fgColor rgb="FF7C7979"/>
      </patternFill>
    </fill>
    <fill>
      <patternFill patternType="solid">
        <fgColor rgb="FFC3EAD5"/>
      </patternFill>
    </fill>
    <fill>
      <patternFill patternType="solid">
        <fgColor rgb="FFE75754"/>
      </patternFill>
    </fill>
    <fill>
      <patternFill patternType="solid">
        <fgColor rgb="FFF0AA0C"/>
      </patternFill>
    </fill>
    <fill>
      <patternFill patternType="solid">
        <fgColor rgb="FF48C1AB"/>
      </patternFill>
    </fill>
    <fill>
      <patternFill patternType="solid">
        <fgColor rgb="FFC7DCFF"/>
      </patternFill>
    </fill>
    <fill>
      <patternFill patternType="solid">
        <fgColor rgb="FFE9E9A9"/>
      </patternFill>
    </fill>
    <fill>
      <patternFill patternType="solid">
        <fgColor rgb="FFE4827F"/>
      </patternFill>
    </fill>
    <fill>
      <patternFill patternType="solid">
        <fgColor rgb="FFFFFFFF"/>
      </patternFill>
    </fill>
    <fill>
      <patternFill patternType="solid">
        <fgColor rgb="FF00A3F5"/>
      </patternFill>
    </fill>
    <fill>
      <patternFill patternType="solid">
        <fgColor rgb="FF99DDFF"/>
      </patternFill>
    </fill>
    <fill>
      <patternFill patternType="solid">
        <fgColor rgb="FFD58EFF"/>
      </patternFill>
    </fill>
    <fill>
      <patternFill patternType="solid">
        <fgColor rgb="FFD58EFF"/>
      </patternFill>
    </fill>
    <fill>
      <patternFill patternType="none">
        <fgColor auto="1"/>
        <bgColor auto="1"/>
      </patternFill>
    </fill>
    <fill>
      <patternFill patternType="solid">
        <fgColor rgb="FFF22C26"/>
      </patternFill>
    </fill>
    <fill>
      <patternFill patternType="solid">
        <fgColor rgb="FFA38200"/>
      </patternFill>
    </fill>
    <fill>
      <patternFill patternType="solid">
        <fgColor rgb="FFFFFFFF"/>
      </patternFill>
    </fill>
    <fill>
      <patternFill patternType="solid">
        <fgColor rgb="FF319B62"/>
      </patternFill>
    </fill>
    <fill>
      <patternFill patternType="solid">
        <fgColor rgb="FF6AA593"/>
      </patternFill>
    </fill>
    <fill>
      <patternFill patternType="solid">
        <fgColor rgb="FFFFC000"/>
      </patternFill>
    </fill>
    <fill>
      <patternFill patternType="solid">
        <fgColor rgb="FFFFF9E3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4">
    <xf numFmtId="0" fontId="0" fillId="0" borderId="0" xfId="0">
      <alignment vertical="center"/>
    </xf>
    <xf numFmtId="0" fontId="4" fillId="6" borderId="1" xfId="0" applyFont="1" applyFill="1" applyBorder="1" applyAlignment="1">
      <alignment horizontal="center" vertical="center"/>
    </xf>
    <xf numFmtId="10" fontId="4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0" fontId="4" fillId="7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0" fontId="4" fillId="8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0" fontId="4" fillId="9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10" fontId="4" fillId="10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10" fontId="4" fillId="11" borderId="1" xfId="0" applyNumberFormat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10" fontId="0" fillId="12" borderId="1" xfId="0" applyNumberForma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10" fontId="0" fillId="13" borderId="1" xfId="0" applyNumberForma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10" fontId="0" fillId="14" borderId="1" xfId="0" applyNumberForma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10" fontId="0" fillId="1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10" fontId="0" fillId="16" borderId="1" xfId="0" applyNumberForma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10" fontId="0" fillId="18" borderId="1" xfId="0" applyNumberForma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10" fontId="0" fillId="19" borderId="1" xfId="0" applyNumberFormat="1" applyFill="1" applyBorder="1" applyAlignment="1">
      <alignment horizontal="center" vertical="center"/>
    </xf>
    <xf numFmtId="10" fontId="5" fillId="27" borderId="1" xfId="0" applyNumberFormat="1" applyFont="1" applyFill="1" applyBorder="1" applyAlignment="1">
      <alignment horizontal="center" vertical="center"/>
    </xf>
    <xf numFmtId="0" fontId="0" fillId="32" borderId="1" xfId="0" applyFill="1" applyBorder="1" applyAlignment="1">
      <alignment horizontal="center" vertical="center"/>
    </xf>
    <xf numFmtId="0" fontId="0" fillId="33" borderId="1" xfId="0" applyFill="1" applyBorder="1" applyAlignment="1">
      <alignment horizontal="center" vertical="center"/>
    </xf>
    <xf numFmtId="0" fontId="0" fillId="34" borderId="1" xfId="0" applyFill="1" applyBorder="1" applyAlignment="1">
      <alignment horizontal="center" vertical="center"/>
    </xf>
    <xf numFmtId="0" fontId="0" fillId="35" borderId="1" xfId="0" applyFill="1" applyBorder="1" applyAlignment="1">
      <alignment horizontal="center" vertical="center"/>
    </xf>
    <xf numFmtId="10" fontId="0" fillId="35" borderId="1" xfId="0" applyNumberFormat="1" applyFill="1" applyBorder="1" applyAlignment="1">
      <alignment horizontal="center" vertical="center"/>
    </xf>
    <xf numFmtId="0" fontId="0" fillId="36" borderId="1" xfId="0" applyFill="1" applyBorder="1" applyAlignment="1">
      <alignment horizontal="center" vertical="center"/>
    </xf>
    <xf numFmtId="10" fontId="0" fillId="36" borderId="1" xfId="0" applyNumberForma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10" fontId="0" fillId="4" borderId="1" xfId="0" applyNumberFormat="1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5" fillId="35" borderId="1" xfId="0" applyFont="1" applyFill="1" applyBorder="1" applyAlignment="1">
      <alignment horizontal="center" vertical="center"/>
    </xf>
    <xf numFmtId="0" fontId="5" fillId="32" borderId="1" xfId="0" applyFont="1" applyFill="1" applyBorder="1" applyAlignment="1">
      <alignment horizontal="center" vertical="center"/>
    </xf>
    <xf numFmtId="10" fontId="0" fillId="32" borderId="1" xfId="0" applyNumberFormat="1" applyFill="1" applyBorder="1" applyAlignment="1">
      <alignment horizontal="center" vertical="center"/>
    </xf>
    <xf numFmtId="0" fontId="5" fillId="33" borderId="1" xfId="0" applyFont="1" applyFill="1" applyBorder="1" applyAlignment="1">
      <alignment horizontal="center" vertical="center"/>
    </xf>
    <xf numFmtId="10" fontId="0" fillId="33" borderId="1" xfId="0" applyNumberFormat="1" applyFill="1" applyBorder="1" applyAlignment="1">
      <alignment horizontal="center" vertical="center"/>
    </xf>
    <xf numFmtId="0" fontId="5" fillId="34" borderId="1" xfId="0" applyFont="1" applyFill="1" applyBorder="1" applyAlignment="1">
      <alignment horizontal="center" vertical="center"/>
    </xf>
    <xf numFmtId="10" fontId="0" fillId="34" borderId="1" xfId="0" applyNumberFormat="1" applyFill="1" applyBorder="1" applyAlignment="1">
      <alignment horizontal="center" vertical="center"/>
    </xf>
    <xf numFmtId="0" fontId="5" fillId="36" borderId="1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17" borderId="7" xfId="0" applyFont="1" applyFill="1" applyBorder="1" applyAlignment="1">
      <alignment horizontal="center" vertical="center"/>
    </xf>
    <xf numFmtId="0" fontId="0" fillId="17" borderId="7" xfId="0" applyFill="1" applyBorder="1" applyAlignment="1">
      <alignment horizontal="center" vertical="center"/>
    </xf>
    <xf numFmtId="10" fontId="0" fillId="17" borderId="7" xfId="0" applyNumberFormat="1" applyFill="1" applyBorder="1" applyAlignment="1">
      <alignment horizontal="center" vertical="center"/>
    </xf>
    <xf numFmtId="0" fontId="3" fillId="41" borderId="1" xfId="0" applyFont="1" applyFill="1" applyBorder="1" applyAlignment="1">
      <alignment horizontal="center" vertical="center"/>
    </xf>
    <xf numFmtId="10" fontId="3" fillId="42" borderId="1" xfId="0" applyNumberFormat="1" applyFont="1" applyFill="1" applyBorder="1" applyAlignment="1">
      <alignment horizontal="center" vertical="center"/>
    </xf>
    <xf numFmtId="0" fontId="6" fillId="43" borderId="1" xfId="0" applyFont="1" applyFill="1" applyBorder="1" applyAlignment="1">
      <alignment horizontal="center" vertical="center"/>
    </xf>
    <xf numFmtId="0" fontId="8" fillId="37" borderId="11" xfId="0" applyFont="1" applyFill="1" applyBorder="1" applyAlignment="1">
      <alignment horizontal="center" vertical="center"/>
    </xf>
    <xf numFmtId="0" fontId="9" fillId="37" borderId="11" xfId="0" applyFont="1" applyFill="1" applyBorder="1" applyAlignment="1">
      <alignment horizontal="center" vertical="center"/>
    </xf>
    <xf numFmtId="10" fontId="9" fillId="37" borderId="11" xfId="0" applyNumberFormat="1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5" fillId="38" borderId="0" xfId="0" applyFont="1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10" fontId="0" fillId="38" borderId="0" xfId="0" applyNumberFormat="1" applyFill="1" applyAlignment="1">
      <alignment horizontal="center" vertical="center"/>
    </xf>
    <xf numFmtId="0" fontId="0" fillId="38" borderId="0" xfId="0" applyFill="1" applyAlignment="1">
      <alignment horizontal="left" vertical="center"/>
    </xf>
    <xf numFmtId="0" fontId="5" fillId="44" borderId="1" xfId="0" applyFont="1" applyFill="1" applyBorder="1" applyAlignment="1">
      <alignment horizontal="center" vertical="center"/>
    </xf>
    <xf numFmtId="10" fontId="5" fillId="44" borderId="1" xfId="0" applyNumberFormat="1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center" vertical="center"/>
    </xf>
    <xf numFmtId="10" fontId="5" fillId="28" borderId="1" xfId="0" applyNumberFormat="1" applyFont="1" applyFill="1" applyBorder="1" applyAlignment="1">
      <alignment horizontal="center" vertical="center"/>
    </xf>
    <xf numFmtId="0" fontId="5" fillId="27" borderId="1" xfId="0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10" fontId="5" fillId="45" borderId="1" xfId="0" applyNumberFormat="1" applyFont="1" applyFill="1" applyBorder="1" applyAlignment="1">
      <alignment horizontal="center" vertical="center"/>
    </xf>
    <xf numFmtId="0" fontId="10" fillId="13" borderId="11" xfId="0" applyFont="1" applyFill="1" applyBorder="1" applyAlignment="1">
      <alignment horizontal="center" vertical="center"/>
    </xf>
    <xf numFmtId="10" fontId="5" fillId="13" borderId="1" xfId="0" applyNumberFormat="1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10" fontId="3" fillId="26" borderId="1" xfId="0" applyNumberFormat="1" applyFont="1" applyFill="1" applyBorder="1" applyAlignment="1">
      <alignment horizontal="center" vertical="center"/>
    </xf>
    <xf numFmtId="0" fontId="10" fillId="16" borderId="11" xfId="0" applyFont="1" applyFill="1" applyBorder="1" applyAlignment="1">
      <alignment horizontal="center" vertical="center"/>
    </xf>
    <xf numFmtId="0" fontId="11" fillId="10" borderId="11" xfId="0" applyFont="1" applyFill="1" applyBorder="1" applyAlignment="1">
      <alignment horizontal="center" vertical="center"/>
    </xf>
    <xf numFmtId="10" fontId="3" fillId="47" borderId="11" xfId="0" applyNumberFormat="1" applyFont="1" applyFill="1" applyBorder="1" applyAlignment="1">
      <alignment horizontal="center" vertical="center"/>
    </xf>
    <xf numFmtId="0" fontId="3" fillId="26" borderId="12" xfId="0" applyFont="1" applyFill="1" applyBorder="1" applyAlignment="1">
      <alignment horizontal="center" vertical="center"/>
    </xf>
    <xf numFmtId="0" fontId="10" fillId="14" borderId="11" xfId="0" applyFont="1" applyFill="1" applyBorder="1" applyAlignment="1">
      <alignment horizontal="center" vertical="center"/>
    </xf>
    <xf numFmtId="0" fontId="10" fillId="35" borderId="11" xfId="0" applyFont="1" applyFill="1" applyBorder="1" applyAlignment="1">
      <alignment horizontal="center" vertical="center"/>
    </xf>
    <xf numFmtId="0" fontId="6" fillId="35" borderId="1" xfId="0" applyFont="1" applyFill="1" applyBorder="1" applyAlignment="1">
      <alignment horizontal="center" vertical="center"/>
    </xf>
    <xf numFmtId="10" fontId="5" fillId="23" borderId="11" xfId="0" applyNumberFormat="1" applyFont="1" applyFill="1" applyBorder="1" applyAlignment="1">
      <alignment horizontal="center" vertical="center"/>
    </xf>
    <xf numFmtId="0" fontId="11" fillId="11" borderId="11" xfId="0" applyFont="1" applyFill="1" applyBorder="1" applyAlignment="1">
      <alignment horizontal="center" vertical="center"/>
    </xf>
    <xf numFmtId="10" fontId="3" fillId="48" borderId="11" xfId="0" applyNumberFormat="1" applyFont="1" applyFill="1" applyBorder="1" applyAlignment="1">
      <alignment horizontal="center" vertical="center"/>
    </xf>
    <xf numFmtId="0" fontId="10" fillId="13" borderId="11" xfId="0" applyFont="1" applyFill="1" applyBorder="1" applyAlignment="1">
      <alignment horizontal="center" vertical="center"/>
    </xf>
    <xf numFmtId="0" fontId="3" fillId="26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38" borderId="13" xfId="0" applyFont="1" applyFill="1" applyBorder="1" applyAlignment="1">
      <alignment horizontal="center" vertical="center"/>
    </xf>
    <xf numFmtId="0" fontId="0" fillId="38" borderId="13" xfId="0" applyFill="1" applyBorder="1" applyAlignment="1">
      <alignment horizontal="center" vertical="center"/>
    </xf>
    <xf numFmtId="10" fontId="0" fillId="38" borderId="13" xfId="0" applyNumberFormat="1" applyFill="1" applyBorder="1" applyAlignment="1">
      <alignment horizontal="center" vertical="center"/>
    </xf>
    <xf numFmtId="0" fontId="10" fillId="14" borderId="11" xfId="0" applyFont="1" applyFill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11" fillId="11" borderId="11" xfId="0" applyFont="1" applyFill="1" applyBorder="1" applyAlignment="1">
      <alignment horizontal="center" vertical="center"/>
    </xf>
    <xf numFmtId="10" fontId="3" fillId="49" borderId="1" xfId="0" applyNumberFormat="1" applyFont="1" applyFill="1" applyBorder="1" applyAlignment="1">
      <alignment horizontal="center" vertical="center"/>
    </xf>
    <xf numFmtId="0" fontId="10" fillId="16" borderId="11" xfId="0" applyFont="1" applyFill="1" applyBorder="1" applyAlignment="1">
      <alignment horizontal="center" vertical="center"/>
    </xf>
    <xf numFmtId="0" fontId="11" fillId="10" borderId="1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10" fontId="5" fillId="18" borderId="1" xfId="0" applyNumberFormat="1" applyFont="1" applyFill="1" applyBorder="1" applyAlignment="1">
      <alignment horizontal="center" vertical="center"/>
    </xf>
    <xf numFmtId="10" fontId="5" fillId="30" borderId="1" xfId="0" applyNumberFormat="1" applyFont="1" applyFill="1" applyBorder="1" applyAlignment="1">
      <alignment horizontal="center" vertical="center"/>
    </xf>
    <xf numFmtId="0" fontId="5" fillId="32" borderId="1" xfId="0" applyFont="1" applyFill="1" applyBorder="1" applyAlignment="1">
      <alignment horizontal="center" vertical="center"/>
    </xf>
    <xf numFmtId="10" fontId="5" fillId="20" borderId="1" xfId="0" applyNumberFormat="1" applyFont="1" applyFill="1" applyBorder="1" applyAlignment="1">
      <alignment horizontal="center" vertical="center"/>
    </xf>
    <xf numFmtId="0" fontId="10" fillId="15" borderId="11" xfId="0" applyFont="1" applyFill="1" applyBorder="1" applyAlignment="1">
      <alignment horizontal="center" vertical="center"/>
    </xf>
    <xf numFmtId="10" fontId="5" fillId="50" borderId="11" xfId="0" applyNumberFormat="1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5" fillId="34" borderId="1" xfId="0" applyFont="1" applyFill="1" applyBorder="1" applyAlignment="1">
      <alignment horizontal="center" vertical="center"/>
    </xf>
    <xf numFmtId="10" fontId="5" fillId="22" borderId="1" xfId="0" applyNumberFormat="1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10" fontId="5" fillId="31" borderId="1" xfId="0" applyNumberFormat="1" applyFont="1" applyFill="1" applyBorder="1" applyAlignment="1">
      <alignment horizontal="center" vertical="center"/>
    </xf>
    <xf numFmtId="0" fontId="5" fillId="33" borderId="1" xfId="0" applyFont="1" applyFill="1" applyBorder="1" applyAlignment="1">
      <alignment horizontal="center" vertical="center"/>
    </xf>
    <xf numFmtId="10" fontId="5" fillId="21" borderId="1" xfId="0" applyNumberFormat="1" applyFont="1" applyFill="1" applyBorder="1" applyAlignment="1">
      <alignment horizontal="center" vertical="center"/>
    </xf>
    <xf numFmtId="10" fontId="5" fillId="24" borderId="1" xfId="0" applyNumberFormat="1" applyFont="1" applyFill="1" applyBorder="1" applyAlignment="1">
      <alignment horizontal="center" vertical="center"/>
    </xf>
    <xf numFmtId="10" fontId="5" fillId="17" borderId="1" xfId="0" applyNumberFormat="1" applyFont="1" applyFill="1" applyBorder="1" applyAlignment="1">
      <alignment horizontal="center" vertical="center"/>
    </xf>
    <xf numFmtId="10" fontId="5" fillId="29" borderId="1" xfId="0" applyNumberFormat="1" applyFont="1" applyFill="1" applyBorder="1" applyAlignment="1">
      <alignment horizontal="center" vertical="center"/>
    </xf>
    <xf numFmtId="0" fontId="5" fillId="37" borderId="1" xfId="0" applyFont="1" applyFill="1" applyBorder="1" applyAlignment="1">
      <alignment horizontal="center" vertical="center"/>
    </xf>
    <xf numFmtId="10" fontId="5" fillId="2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0" fontId="0" fillId="0" borderId="0" xfId="0" applyNumberFormat="1" applyAlignment="1">
      <alignment horizontal="left" vertical="center"/>
    </xf>
    <xf numFmtId="10" fontId="0" fillId="0" borderId="0" xfId="0" applyNumberFormat="1">
      <alignment vertical="center"/>
    </xf>
    <xf numFmtId="0" fontId="12" fillId="38" borderId="0" xfId="0" applyFont="1" applyFill="1" applyAlignment="1">
      <alignment horizontal="left" vertical="center"/>
    </xf>
    <xf numFmtId="0" fontId="12" fillId="38" borderId="13" xfId="0" applyFont="1" applyFill="1" applyBorder="1" applyAlignment="1">
      <alignment horizontal="left" vertical="center" wrapText="1"/>
    </xf>
    <xf numFmtId="0" fontId="12" fillId="46" borderId="13" xfId="0" applyFont="1" applyFill="1" applyBorder="1">
      <alignment vertical="center"/>
    </xf>
    <xf numFmtId="10" fontId="0" fillId="0" borderId="0" xfId="0" applyNumberFormat="1" applyAlignment="1">
      <alignment horizontal="left" vertical="center"/>
    </xf>
    <xf numFmtId="0" fontId="0" fillId="0" borderId="1" xfId="0" applyBorder="1">
      <alignment vertical="center"/>
    </xf>
    <xf numFmtId="10" fontId="3" fillId="6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8" borderId="3" xfId="0" applyFont="1" applyFill="1" applyBorder="1" applyAlignment="1">
      <alignment horizontal="left" vertical="center"/>
    </xf>
    <xf numFmtId="0" fontId="0" fillId="0" borderId="7" xfId="0" applyBorder="1">
      <alignment vertical="center"/>
    </xf>
    <xf numFmtId="0" fontId="3" fillId="38" borderId="1" xfId="0" applyFont="1" applyFill="1" applyBorder="1" applyAlignment="1">
      <alignment horizontal="left" vertical="center"/>
    </xf>
    <xf numFmtId="0" fontId="4" fillId="46" borderId="1" xfId="0" applyFont="1" applyFill="1" applyBorder="1" applyAlignment="1">
      <alignment horizontal="left" vertical="center"/>
    </xf>
    <xf numFmtId="0" fontId="4" fillId="38" borderId="1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3" fillId="7" borderId="7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5" fillId="17" borderId="7" xfId="0" applyFont="1" applyFill="1" applyBorder="1" applyAlignment="1">
      <alignment horizontal="center" vertical="center"/>
    </xf>
    <xf numFmtId="0" fontId="10" fillId="36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7" fillId="0" borderId="2" xfId="0" applyFont="1" applyBorder="1">
      <alignment vertical="center"/>
    </xf>
    <xf numFmtId="10" fontId="3" fillId="40" borderId="7" xfId="0" applyNumberFormat="1" applyFont="1" applyFill="1" applyBorder="1" applyAlignment="1">
      <alignment horizontal="center" vertical="center"/>
    </xf>
    <xf numFmtId="10" fontId="4" fillId="39" borderId="1" xfId="0" applyNumberFormat="1" applyFont="1" applyFill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王树根-江西"/>
  <dimension ref="A1:Z87"/>
  <sheetViews>
    <sheetView tabSelected="1" workbookViewId="0">
      <selection activeCell="G27" sqref="G27"/>
    </sheetView>
  </sheetViews>
  <sheetFormatPr defaultColWidth="14.21875" defaultRowHeight="18" customHeight="1"/>
  <cols>
    <col min="1" max="2" width="13.6640625" style="54"/>
    <col min="3" max="3" width="26.109375" style="54" customWidth="1"/>
    <col min="4" max="4" width="13.6640625" style="54"/>
    <col min="5" max="5" width="13.6640625" style="142"/>
    <col min="6" max="6" width="27.5546875" style="54" customWidth="1"/>
    <col min="7" max="7" width="13.6640625" style="54"/>
    <col min="8" max="8" width="16.33203125" style="54" customWidth="1"/>
    <col min="9" max="26" width="13.6640625" style="54"/>
  </cols>
  <sheetData>
    <row r="1" spans="1:10" ht="18" customHeight="1">
      <c r="A1" s="145" t="s">
        <v>53</v>
      </c>
      <c r="B1" s="143"/>
      <c r="C1" s="143"/>
      <c r="D1" s="143"/>
      <c r="E1" s="143"/>
      <c r="G1" s="158" t="s">
        <v>54</v>
      </c>
      <c r="H1" s="159"/>
      <c r="I1" s="159"/>
      <c r="J1" s="159"/>
    </row>
    <row r="2" spans="1:10" ht="18" customHeight="1">
      <c r="A2" s="55" t="s">
        <v>0</v>
      </c>
      <c r="B2" s="56" t="s">
        <v>1</v>
      </c>
      <c r="C2" s="56" t="s">
        <v>2</v>
      </c>
      <c r="D2" s="56" t="s">
        <v>3</v>
      </c>
      <c r="E2" s="57" t="s">
        <v>4</v>
      </c>
      <c r="G2" s="58" t="s">
        <v>5</v>
      </c>
      <c r="H2" s="58" t="s">
        <v>6</v>
      </c>
      <c r="I2" s="58" t="s">
        <v>3</v>
      </c>
      <c r="J2" s="58" t="s">
        <v>4</v>
      </c>
    </row>
    <row r="3" spans="1:10" ht="18" customHeight="1">
      <c r="A3" s="146" t="s">
        <v>7</v>
      </c>
      <c r="B3" s="3">
        <v>1</v>
      </c>
      <c r="C3" s="151" t="s">
        <v>8</v>
      </c>
      <c r="D3" s="3">
        <v>1</v>
      </c>
      <c r="E3" s="144">
        <f>5/120</f>
        <v>4.1666666666666664E-2</v>
      </c>
      <c r="G3" s="4" t="s">
        <v>9</v>
      </c>
      <c r="H3" s="3" t="s">
        <v>8</v>
      </c>
      <c r="I3" s="1">
        <v>5</v>
      </c>
      <c r="J3" s="2">
        <f t="shared" ref="J3:J23" si="0">I3/120</f>
        <v>4.1666666666666664E-2</v>
      </c>
    </row>
    <row r="4" spans="1:10" ht="18" customHeight="1">
      <c r="A4" s="143"/>
      <c r="B4" s="3">
        <v>2</v>
      </c>
      <c r="C4" s="152"/>
      <c r="D4" s="3">
        <v>1</v>
      </c>
      <c r="E4" s="152"/>
      <c r="G4" s="4" t="s">
        <v>10</v>
      </c>
      <c r="H4" s="5" t="s">
        <v>11</v>
      </c>
      <c r="I4" s="6">
        <v>10</v>
      </c>
      <c r="J4" s="7">
        <f t="shared" si="0"/>
        <v>8.3333333333333329E-2</v>
      </c>
    </row>
    <row r="5" spans="1:10" ht="18" customHeight="1">
      <c r="A5" s="143"/>
      <c r="B5" s="3">
        <v>3</v>
      </c>
      <c r="C5" s="152"/>
      <c r="D5" s="3">
        <v>1</v>
      </c>
      <c r="E5" s="152"/>
      <c r="G5" s="4" t="s">
        <v>12</v>
      </c>
      <c r="H5" s="8" t="s">
        <v>14</v>
      </c>
      <c r="I5" s="9">
        <v>5</v>
      </c>
      <c r="J5" s="10">
        <f t="shared" si="0"/>
        <v>4.1666666666666664E-2</v>
      </c>
    </row>
    <row r="6" spans="1:10" ht="18" customHeight="1">
      <c r="A6" s="143"/>
      <c r="B6" s="3">
        <v>4</v>
      </c>
      <c r="C6" s="152"/>
      <c r="D6" s="3">
        <v>1</v>
      </c>
      <c r="E6" s="152"/>
      <c r="G6" s="4" t="s">
        <v>13</v>
      </c>
      <c r="H6" s="11" t="s">
        <v>55</v>
      </c>
      <c r="I6" s="12">
        <v>1</v>
      </c>
      <c r="J6" s="13">
        <f t="shared" si="0"/>
        <v>8.3333333333333332E-3</v>
      </c>
    </row>
    <row r="7" spans="1:10" ht="18" customHeight="1">
      <c r="A7" s="143"/>
      <c r="B7" s="3">
        <v>5</v>
      </c>
      <c r="C7" s="153"/>
      <c r="D7" s="3">
        <v>1</v>
      </c>
      <c r="E7" s="153"/>
      <c r="G7" s="4" t="s">
        <v>15</v>
      </c>
      <c r="H7" s="14" t="s">
        <v>16</v>
      </c>
      <c r="I7" s="15">
        <v>9</v>
      </c>
      <c r="J7" s="16">
        <f t="shared" si="0"/>
        <v>7.4999999999999997E-2</v>
      </c>
    </row>
    <row r="8" spans="1:10" ht="18" customHeight="1">
      <c r="A8" s="143"/>
      <c r="B8" s="5">
        <v>6</v>
      </c>
      <c r="C8" s="154" t="s">
        <v>11</v>
      </c>
      <c r="D8" s="5">
        <v>1</v>
      </c>
      <c r="E8" s="161">
        <f>10/120</f>
        <v>8.3333333333333329E-2</v>
      </c>
      <c r="G8" s="4" t="s">
        <v>17</v>
      </c>
      <c r="H8" s="17" t="s">
        <v>18</v>
      </c>
      <c r="I8" s="18">
        <v>3</v>
      </c>
      <c r="J8" s="19">
        <f t="shared" si="0"/>
        <v>2.5000000000000001E-2</v>
      </c>
    </row>
    <row r="9" spans="1:10" ht="18" customHeight="1">
      <c r="A9" s="143"/>
      <c r="B9" s="5">
        <v>7</v>
      </c>
      <c r="C9" s="152"/>
      <c r="D9" s="5">
        <v>1</v>
      </c>
      <c r="E9" s="152"/>
      <c r="G9" s="4" t="s">
        <v>19</v>
      </c>
      <c r="H9" s="20" t="s">
        <v>20</v>
      </c>
      <c r="I9" s="21">
        <v>2</v>
      </c>
      <c r="J9" s="22">
        <f t="shared" si="0"/>
        <v>1.6666666666666666E-2</v>
      </c>
    </row>
    <row r="10" spans="1:10" ht="18" customHeight="1">
      <c r="A10" s="143"/>
      <c r="B10" s="5">
        <v>8</v>
      </c>
      <c r="C10" s="152"/>
      <c r="D10" s="5">
        <v>1</v>
      </c>
      <c r="E10" s="152"/>
      <c r="G10" s="4" t="s">
        <v>21</v>
      </c>
      <c r="H10" s="23" t="s">
        <v>22</v>
      </c>
      <c r="I10" s="24">
        <v>2</v>
      </c>
      <c r="J10" s="25">
        <f t="shared" si="0"/>
        <v>1.6666666666666666E-2</v>
      </c>
    </row>
    <row r="11" spans="1:10" ht="18" customHeight="1">
      <c r="A11" s="143"/>
      <c r="B11" s="5">
        <v>9</v>
      </c>
      <c r="C11" s="152"/>
      <c r="D11" s="5">
        <v>1</v>
      </c>
      <c r="E11" s="152"/>
      <c r="G11" s="4" t="s">
        <v>23</v>
      </c>
      <c r="H11" s="26" t="s">
        <v>24</v>
      </c>
      <c r="I11" s="27">
        <v>8</v>
      </c>
      <c r="J11" s="28">
        <f t="shared" si="0"/>
        <v>6.6666666666666666E-2</v>
      </c>
    </row>
    <row r="12" spans="1:10" ht="18" customHeight="1">
      <c r="A12" s="143"/>
      <c r="B12" s="5">
        <v>10</v>
      </c>
      <c r="C12" s="152"/>
      <c r="D12" s="5">
        <v>1</v>
      </c>
      <c r="E12" s="162"/>
      <c r="G12" s="4" t="s">
        <v>25</v>
      </c>
      <c r="H12" s="29" t="s">
        <v>26</v>
      </c>
      <c r="I12" s="30">
        <v>3</v>
      </c>
      <c r="J12" s="31">
        <f t="shared" si="0"/>
        <v>2.5000000000000001E-2</v>
      </c>
    </row>
    <row r="13" spans="1:10" ht="18" customHeight="1">
      <c r="A13" s="143"/>
      <c r="B13" s="5">
        <v>11</v>
      </c>
      <c r="C13" s="152"/>
      <c r="D13" s="5">
        <v>1</v>
      </c>
      <c r="E13" s="163"/>
      <c r="G13" s="4" t="s">
        <v>27</v>
      </c>
      <c r="H13" s="59" t="s">
        <v>56</v>
      </c>
      <c r="I13" s="50">
        <v>1</v>
      </c>
      <c r="J13" s="51">
        <f t="shared" si="0"/>
        <v>8.3333333333333332E-3</v>
      </c>
    </row>
    <row r="14" spans="1:10" ht="18" customHeight="1">
      <c r="A14" s="143"/>
      <c r="B14" s="5">
        <v>12</v>
      </c>
      <c r="C14" s="152"/>
      <c r="D14" s="5">
        <v>1</v>
      </c>
      <c r="E14" s="152"/>
      <c r="G14" s="4" t="s">
        <v>28</v>
      </c>
      <c r="H14" s="36" t="s">
        <v>57</v>
      </c>
      <c r="I14" s="37">
        <v>5</v>
      </c>
      <c r="J14" s="38">
        <f t="shared" si="0"/>
        <v>4.1666666666666664E-2</v>
      </c>
    </row>
    <row r="15" spans="1:10" ht="18" customHeight="1">
      <c r="A15" s="143"/>
      <c r="B15" s="5">
        <v>13</v>
      </c>
      <c r="C15" s="152"/>
      <c r="D15" s="5">
        <v>1</v>
      </c>
      <c r="E15" s="152"/>
      <c r="G15" s="35" t="s">
        <v>30</v>
      </c>
      <c r="H15" s="40" t="s">
        <v>35</v>
      </c>
      <c r="I15" s="41">
        <v>24</v>
      </c>
      <c r="J15" s="42">
        <f t="shared" si="0"/>
        <v>0.2</v>
      </c>
    </row>
    <row r="16" spans="1:10" ht="18" customHeight="1">
      <c r="A16" s="143"/>
      <c r="B16" s="5">
        <v>14</v>
      </c>
      <c r="C16" s="152"/>
      <c r="D16" s="5">
        <v>1</v>
      </c>
      <c r="E16" s="152"/>
      <c r="G16" s="4" t="s">
        <v>31</v>
      </c>
      <c r="H16" s="43" t="s">
        <v>37</v>
      </c>
      <c r="I16" s="44">
        <v>2</v>
      </c>
      <c r="J16" s="45">
        <f t="shared" si="0"/>
        <v>1.6666666666666666E-2</v>
      </c>
    </row>
    <row r="17" spans="1:11" ht="18" customHeight="1">
      <c r="A17" s="143"/>
      <c r="B17" s="5">
        <v>15</v>
      </c>
      <c r="C17" s="153"/>
      <c r="D17" s="5">
        <v>1</v>
      </c>
      <c r="E17" s="153"/>
      <c r="G17" s="4" t="s">
        <v>32</v>
      </c>
      <c r="H17" s="60" t="s">
        <v>39</v>
      </c>
      <c r="I17" s="47">
        <v>4</v>
      </c>
      <c r="J17" s="61">
        <f t="shared" si="0"/>
        <v>3.3333333333333333E-2</v>
      </c>
    </row>
    <row r="18" spans="1:11" ht="18" customHeight="1">
      <c r="A18" s="143"/>
      <c r="B18" s="8">
        <v>16</v>
      </c>
      <c r="C18" s="155" t="s">
        <v>14</v>
      </c>
      <c r="D18" s="8">
        <v>1</v>
      </c>
      <c r="E18" s="160">
        <f>5/120</f>
        <v>4.1666666666666664E-2</v>
      </c>
      <c r="G18" s="4" t="s">
        <v>34</v>
      </c>
      <c r="H18" s="62" t="s">
        <v>58</v>
      </c>
      <c r="I18" s="48">
        <v>2</v>
      </c>
      <c r="J18" s="63">
        <f t="shared" si="0"/>
        <v>1.6666666666666666E-2</v>
      </c>
    </row>
    <row r="19" spans="1:11" ht="18" customHeight="1">
      <c r="A19" s="143"/>
      <c r="B19" s="8">
        <v>17</v>
      </c>
      <c r="C19" s="152"/>
      <c r="D19" s="8">
        <v>1</v>
      </c>
      <c r="E19" s="152"/>
      <c r="G19" s="4" t="s">
        <v>36</v>
      </c>
      <c r="H19" s="64" t="s">
        <v>43</v>
      </c>
      <c r="I19" s="49">
        <v>2</v>
      </c>
      <c r="J19" s="65">
        <f t="shared" si="0"/>
        <v>1.6666666666666666E-2</v>
      </c>
    </row>
    <row r="20" spans="1:11" ht="18" customHeight="1">
      <c r="A20" s="143"/>
      <c r="B20" s="8">
        <v>18</v>
      </c>
      <c r="C20" s="152"/>
      <c r="D20" s="8">
        <v>1</v>
      </c>
      <c r="E20" s="152"/>
      <c r="G20" s="4" t="s">
        <v>38</v>
      </c>
      <c r="H20" s="32" t="s">
        <v>41</v>
      </c>
      <c r="I20" s="33">
        <v>2</v>
      </c>
      <c r="J20" s="34">
        <f t="shared" si="0"/>
        <v>1.6666666666666666E-2</v>
      </c>
    </row>
    <row r="21" spans="1:11" ht="18" customHeight="1">
      <c r="A21" s="143"/>
      <c r="B21" s="8">
        <v>19</v>
      </c>
      <c r="C21" s="152"/>
      <c r="D21" s="8">
        <v>1</v>
      </c>
      <c r="E21" s="152"/>
      <c r="G21" s="4" t="s">
        <v>40</v>
      </c>
      <c r="H21" s="66" t="s">
        <v>59</v>
      </c>
      <c r="I21" s="52">
        <v>10</v>
      </c>
      <c r="J21" s="53">
        <f t="shared" si="0"/>
        <v>8.3333333333333329E-2</v>
      </c>
    </row>
    <row r="22" spans="1:11" ht="18" customHeight="1">
      <c r="A22" s="147"/>
      <c r="B22" s="8">
        <v>20</v>
      </c>
      <c r="C22" s="153"/>
      <c r="D22" s="8">
        <v>1</v>
      </c>
      <c r="E22" s="153"/>
      <c r="G22" s="67" t="s">
        <v>42</v>
      </c>
      <c r="H22" s="68" t="s">
        <v>33</v>
      </c>
      <c r="I22" s="69">
        <v>5</v>
      </c>
      <c r="J22" s="70">
        <f t="shared" si="0"/>
        <v>4.1666666666666664E-2</v>
      </c>
    </row>
    <row r="23" spans="1:11" ht="18" customHeight="1">
      <c r="A23" s="148" t="s">
        <v>44</v>
      </c>
      <c r="B23" s="11">
        <v>21</v>
      </c>
      <c r="C23" s="71" t="s">
        <v>55</v>
      </c>
      <c r="D23" s="11">
        <v>1</v>
      </c>
      <c r="E23" s="72">
        <f t="shared" ref="E23:E54" si="1">D23/120</f>
        <v>8.3333333333333332E-3</v>
      </c>
      <c r="G23" s="73" t="s">
        <v>45</v>
      </c>
      <c r="H23" s="74" t="s">
        <v>60</v>
      </c>
      <c r="I23" s="75">
        <v>15</v>
      </c>
      <c r="J23" s="76">
        <f t="shared" si="0"/>
        <v>0.125</v>
      </c>
    </row>
    <row r="24" spans="1:11" ht="18" customHeight="1">
      <c r="A24" s="143"/>
      <c r="B24" s="14">
        <v>22</v>
      </c>
      <c r="C24" s="77" t="s">
        <v>16</v>
      </c>
      <c r="D24" s="14">
        <v>1</v>
      </c>
      <c r="E24" s="78">
        <f t="shared" si="1"/>
        <v>8.3333333333333332E-3</v>
      </c>
      <c r="G24" s="79"/>
      <c r="H24" s="80"/>
      <c r="I24" s="81"/>
      <c r="J24" s="82"/>
      <c r="K24" s="83"/>
    </row>
    <row r="25" spans="1:11" ht="18" customHeight="1">
      <c r="A25" s="143"/>
      <c r="B25" s="23">
        <v>23</v>
      </c>
      <c r="C25" s="84" t="s">
        <v>22</v>
      </c>
      <c r="D25" s="23">
        <v>1</v>
      </c>
      <c r="E25" s="85">
        <f t="shared" si="1"/>
        <v>8.3333333333333332E-3</v>
      </c>
    </row>
    <row r="26" spans="1:11" ht="18" customHeight="1">
      <c r="A26" s="143"/>
      <c r="B26" s="23">
        <v>24</v>
      </c>
      <c r="C26" s="84" t="s">
        <v>22</v>
      </c>
      <c r="D26" s="23">
        <v>1</v>
      </c>
      <c r="E26" s="85">
        <f t="shared" si="1"/>
        <v>8.3333333333333332E-3</v>
      </c>
    </row>
    <row r="27" spans="1:11" ht="18" customHeight="1">
      <c r="A27" s="143"/>
      <c r="B27" s="36">
        <v>25</v>
      </c>
      <c r="C27" s="86" t="s">
        <v>57</v>
      </c>
      <c r="D27" s="36">
        <v>1</v>
      </c>
      <c r="E27" s="87">
        <f t="shared" si="1"/>
        <v>8.3333333333333332E-3</v>
      </c>
    </row>
    <row r="28" spans="1:11" ht="18" customHeight="1">
      <c r="A28" s="143"/>
      <c r="B28" s="36">
        <v>26</v>
      </c>
      <c r="C28" s="86" t="s">
        <v>57</v>
      </c>
      <c r="D28" s="36">
        <v>1</v>
      </c>
      <c r="E28" s="87">
        <f t="shared" si="1"/>
        <v>8.3333333333333332E-3</v>
      </c>
    </row>
    <row r="29" spans="1:11" ht="18" customHeight="1">
      <c r="A29" s="143"/>
      <c r="B29" s="26">
        <v>27</v>
      </c>
      <c r="C29" s="88" t="s">
        <v>24</v>
      </c>
      <c r="D29" s="26">
        <v>1</v>
      </c>
      <c r="E29" s="46">
        <f t="shared" si="1"/>
        <v>8.3333333333333332E-3</v>
      </c>
    </row>
    <row r="30" spans="1:11" ht="18" customHeight="1">
      <c r="A30" s="147"/>
      <c r="B30" s="29">
        <v>28</v>
      </c>
      <c r="C30" s="89" t="s">
        <v>26</v>
      </c>
      <c r="D30" s="29">
        <v>1</v>
      </c>
      <c r="E30" s="90">
        <f t="shared" si="1"/>
        <v>8.3333333333333332E-3</v>
      </c>
    </row>
    <row r="31" spans="1:11" ht="17.25">
      <c r="A31" s="149" t="s">
        <v>46</v>
      </c>
      <c r="B31" s="26">
        <v>29</v>
      </c>
      <c r="C31" s="91" t="s">
        <v>24</v>
      </c>
      <c r="D31" s="26">
        <v>1</v>
      </c>
      <c r="E31" s="92">
        <f t="shared" si="1"/>
        <v>8.3333333333333332E-3</v>
      </c>
    </row>
    <row r="32" spans="1:11" ht="17.25">
      <c r="A32" s="143"/>
      <c r="B32" s="26">
        <v>30</v>
      </c>
      <c r="C32" s="91" t="s">
        <v>24</v>
      </c>
      <c r="D32" s="26">
        <v>1</v>
      </c>
      <c r="E32" s="46">
        <f t="shared" si="1"/>
        <v>8.3333333333333332E-3</v>
      </c>
    </row>
    <row r="33" spans="1:11" ht="17.25">
      <c r="A33" s="143"/>
      <c r="B33" s="14">
        <v>31</v>
      </c>
      <c r="C33" s="93" t="s">
        <v>16</v>
      </c>
      <c r="D33" s="14">
        <v>1</v>
      </c>
      <c r="E33" s="94">
        <f t="shared" si="1"/>
        <v>8.3333333333333332E-3</v>
      </c>
    </row>
    <row r="34" spans="1:11" ht="17.25">
      <c r="A34" s="143"/>
      <c r="B34" s="36">
        <v>32</v>
      </c>
      <c r="C34" s="95" t="s">
        <v>57</v>
      </c>
      <c r="D34" s="36">
        <v>1</v>
      </c>
      <c r="E34" s="87">
        <f t="shared" si="1"/>
        <v>8.3333333333333332E-3</v>
      </c>
    </row>
    <row r="35" spans="1:11" ht="17.25">
      <c r="A35" s="143"/>
      <c r="B35" s="17">
        <v>33</v>
      </c>
      <c r="C35" s="96" t="s">
        <v>18</v>
      </c>
      <c r="D35" s="17">
        <v>1</v>
      </c>
      <c r="E35" s="97">
        <f t="shared" si="1"/>
        <v>8.3333333333333332E-3</v>
      </c>
    </row>
    <row r="36" spans="1:11" ht="17.25">
      <c r="A36" s="143"/>
      <c r="B36" s="26">
        <v>34</v>
      </c>
      <c r="C36" s="91" t="s">
        <v>24</v>
      </c>
      <c r="D36" s="26">
        <v>1</v>
      </c>
      <c r="E36" s="46">
        <f t="shared" si="1"/>
        <v>8.3333333333333332E-3</v>
      </c>
    </row>
    <row r="37" spans="1:11" ht="17.25">
      <c r="A37" s="143"/>
      <c r="B37" s="14">
        <v>35</v>
      </c>
      <c r="C37" s="93" t="s">
        <v>16</v>
      </c>
      <c r="D37" s="14">
        <v>1</v>
      </c>
      <c r="E37" s="94">
        <f t="shared" si="1"/>
        <v>8.3333333333333332E-3</v>
      </c>
    </row>
    <row r="38" spans="1:11" ht="17.25">
      <c r="A38" s="143"/>
      <c r="B38" s="26">
        <v>36</v>
      </c>
      <c r="C38" s="91" t="s">
        <v>29</v>
      </c>
      <c r="D38" s="26">
        <v>1</v>
      </c>
      <c r="E38" s="46">
        <f t="shared" si="1"/>
        <v>8.3333333333333332E-3</v>
      </c>
      <c r="F38" s="139"/>
      <c r="G38" s="83"/>
    </row>
    <row r="39" spans="1:11" ht="17.25">
      <c r="A39" s="143"/>
      <c r="B39" s="36">
        <v>37</v>
      </c>
      <c r="C39" s="95" t="s">
        <v>57</v>
      </c>
      <c r="D39" s="36">
        <v>1</v>
      </c>
      <c r="E39" s="87">
        <f t="shared" si="1"/>
        <v>8.3333333333333332E-3</v>
      </c>
    </row>
    <row r="40" spans="1:11" ht="17.25">
      <c r="A40" s="143"/>
      <c r="B40" s="14">
        <v>38</v>
      </c>
      <c r="C40" s="93" t="s">
        <v>16</v>
      </c>
      <c r="D40" s="14">
        <v>1</v>
      </c>
      <c r="E40" s="94">
        <f t="shared" si="1"/>
        <v>8.3333333333333332E-3</v>
      </c>
    </row>
    <row r="41" spans="1:11" ht="17.25">
      <c r="A41" s="143"/>
      <c r="B41" s="14">
        <v>39</v>
      </c>
      <c r="C41" s="93" t="s">
        <v>16</v>
      </c>
      <c r="D41" s="14">
        <v>1</v>
      </c>
      <c r="E41" s="94">
        <f t="shared" si="1"/>
        <v>8.3333333333333332E-3</v>
      </c>
    </row>
    <row r="42" spans="1:11" ht="17.25">
      <c r="A42" s="143"/>
      <c r="B42" s="14">
        <v>40</v>
      </c>
      <c r="C42" s="98" t="s">
        <v>16</v>
      </c>
      <c r="D42" s="14">
        <v>1</v>
      </c>
      <c r="E42" s="94">
        <f t="shared" si="1"/>
        <v>8.3333333333333332E-3</v>
      </c>
    </row>
    <row r="43" spans="1:11" ht="17.25">
      <c r="A43" s="143"/>
      <c r="B43" s="29">
        <v>41</v>
      </c>
      <c r="C43" s="99" t="s">
        <v>26</v>
      </c>
      <c r="D43" s="29">
        <v>1</v>
      </c>
      <c r="E43" s="90">
        <f t="shared" si="1"/>
        <v>8.3333333333333332E-3</v>
      </c>
    </row>
    <row r="44" spans="1:11" ht="17.25">
      <c r="A44" s="143"/>
      <c r="B44" s="59">
        <v>42</v>
      </c>
      <c r="C44" s="100" t="s">
        <v>56</v>
      </c>
      <c r="D44" s="101">
        <v>1</v>
      </c>
      <c r="E44" s="102">
        <f t="shared" si="1"/>
        <v>8.3333333333333332E-3</v>
      </c>
    </row>
    <row r="45" spans="1:11" ht="17.25">
      <c r="A45" s="143"/>
      <c r="B45" s="20">
        <v>43</v>
      </c>
      <c r="C45" s="103" t="s">
        <v>20</v>
      </c>
      <c r="D45" s="20">
        <v>1</v>
      </c>
      <c r="E45" s="104">
        <f t="shared" si="1"/>
        <v>8.3333333333333332E-3</v>
      </c>
    </row>
    <row r="46" spans="1:11" ht="17.25">
      <c r="A46" s="149" t="s">
        <v>47</v>
      </c>
      <c r="B46" s="26">
        <v>44</v>
      </c>
      <c r="C46" s="105" t="s">
        <v>61</v>
      </c>
      <c r="D46" s="26">
        <v>1</v>
      </c>
      <c r="E46" s="46">
        <f t="shared" si="1"/>
        <v>8.3333333333333332E-3</v>
      </c>
      <c r="F46" s="140"/>
    </row>
    <row r="47" spans="1:11" ht="17.25">
      <c r="A47" s="143"/>
      <c r="B47" s="14">
        <v>45</v>
      </c>
      <c r="C47" s="106" t="s">
        <v>62</v>
      </c>
      <c r="D47" s="14">
        <v>1</v>
      </c>
      <c r="E47" s="94">
        <f t="shared" si="1"/>
        <v>8.3333333333333332E-3</v>
      </c>
      <c r="F47" s="141"/>
      <c r="G47" s="107"/>
      <c r="H47" s="108"/>
      <c r="I47" s="109"/>
      <c r="J47" s="110"/>
      <c r="K47" s="83"/>
    </row>
    <row r="48" spans="1:11" ht="17.25">
      <c r="A48" s="143"/>
      <c r="B48" s="29">
        <v>46</v>
      </c>
      <c r="C48" s="111" t="s">
        <v>63</v>
      </c>
      <c r="D48" s="29">
        <v>1</v>
      </c>
      <c r="E48" s="90">
        <f t="shared" si="1"/>
        <v>8.3333333333333332E-3</v>
      </c>
      <c r="F48" s="141"/>
      <c r="G48" s="107"/>
      <c r="H48" s="112"/>
      <c r="I48" s="112"/>
      <c r="J48" s="112"/>
    </row>
    <row r="49" spans="1:10" ht="17.25">
      <c r="A49" s="143"/>
      <c r="B49" s="14">
        <v>47</v>
      </c>
      <c r="C49" s="106" t="s">
        <v>62</v>
      </c>
      <c r="D49" s="14">
        <v>1</v>
      </c>
      <c r="E49" s="94">
        <f t="shared" si="1"/>
        <v>8.3333333333333332E-3</v>
      </c>
      <c r="F49" s="141"/>
      <c r="G49" s="107"/>
      <c r="H49" s="112"/>
      <c r="I49" s="112"/>
      <c r="J49" s="112"/>
    </row>
    <row r="50" spans="1:10" ht="17.25">
      <c r="A50" s="143"/>
      <c r="B50" s="20">
        <v>48</v>
      </c>
      <c r="C50" s="113" t="s">
        <v>68</v>
      </c>
      <c r="D50" s="20">
        <v>1</v>
      </c>
      <c r="E50" s="104">
        <f t="shared" si="1"/>
        <v>8.3333333333333332E-3</v>
      </c>
      <c r="F50" s="141"/>
    </row>
    <row r="51" spans="1:10" ht="17.25">
      <c r="A51" s="143"/>
      <c r="B51" s="14">
        <v>49</v>
      </c>
      <c r="C51" s="106" t="s">
        <v>62</v>
      </c>
      <c r="D51" s="14">
        <v>1</v>
      </c>
      <c r="E51" s="114">
        <f t="shared" si="1"/>
        <v>8.3333333333333332E-3</v>
      </c>
      <c r="F51" s="141"/>
    </row>
    <row r="52" spans="1:10" ht="17.25">
      <c r="A52" s="143"/>
      <c r="B52" s="36">
        <v>50</v>
      </c>
      <c r="C52" s="115" t="s">
        <v>67</v>
      </c>
      <c r="D52" s="36">
        <v>1</v>
      </c>
      <c r="E52" s="87">
        <f t="shared" si="1"/>
        <v>8.3333333333333332E-3</v>
      </c>
      <c r="F52" s="141"/>
    </row>
    <row r="53" spans="1:10" ht="17.25">
      <c r="A53" s="143"/>
      <c r="B53" s="26">
        <v>51</v>
      </c>
      <c r="C53" s="105" t="s">
        <v>61</v>
      </c>
      <c r="D53" s="26">
        <v>1</v>
      </c>
      <c r="E53" s="46">
        <f t="shared" si="1"/>
        <v>8.3333333333333332E-3</v>
      </c>
      <c r="F53" s="141"/>
    </row>
    <row r="54" spans="1:10" ht="17.25">
      <c r="A54" s="143"/>
      <c r="B54" s="17">
        <v>52</v>
      </c>
      <c r="C54" s="116" t="s">
        <v>69</v>
      </c>
      <c r="D54" s="17">
        <v>1</v>
      </c>
      <c r="E54" s="97">
        <f t="shared" si="1"/>
        <v>8.3333333333333332E-3</v>
      </c>
      <c r="F54" s="141"/>
    </row>
    <row r="55" spans="1:10" ht="17.25">
      <c r="A55" s="143"/>
      <c r="B55" s="17">
        <v>53</v>
      </c>
      <c r="C55" s="116" t="s">
        <v>69</v>
      </c>
      <c r="D55" s="17">
        <v>1</v>
      </c>
      <c r="E55" s="97">
        <f t="shared" ref="E55:E86" si="2">D55/120</f>
        <v>8.3333333333333332E-3</v>
      </c>
      <c r="F55" s="141"/>
    </row>
    <row r="56" spans="1:10" ht="17.25">
      <c r="A56" s="147"/>
      <c r="B56" s="26">
        <v>54</v>
      </c>
      <c r="C56" s="105" t="s">
        <v>61</v>
      </c>
      <c r="D56" s="26">
        <v>1</v>
      </c>
      <c r="E56" s="46">
        <f t="shared" si="2"/>
        <v>8.3333333333333332E-3</v>
      </c>
      <c r="F56" s="141"/>
    </row>
    <row r="57" spans="1:10" ht="17.25">
      <c r="A57" s="150" t="s">
        <v>48</v>
      </c>
      <c r="B57" s="40">
        <v>55</v>
      </c>
      <c r="C57" s="40" t="s">
        <v>35</v>
      </c>
      <c r="D57" s="40">
        <v>2</v>
      </c>
      <c r="E57" s="118">
        <f t="shared" si="2"/>
        <v>1.6666666666666666E-2</v>
      </c>
    </row>
    <row r="58" spans="1:10" ht="17.25">
      <c r="A58" s="143"/>
      <c r="B58" s="40">
        <v>56</v>
      </c>
      <c r="C58" s="40" t="s">
        <v>35</v>
      </c>
      <c r="D58" s="40">
        <v>2</v>
      </c>
      <c r="E58" s="119">
        <f t="shared" si="2"/>
        <v>1.6666666666666666E-2</v>
      </c>
    </row>
    <row r="59" spans="1:10" ht="17.25">
      <c r="A59" s="143"/>
      <c r="B59" s="40">
        <v>57</v>
      </c>
      <c r="C59" s="40" t="s">
        <v>35</v>
      </c>
      <c r="D59" s="40">
        <v>2</v>
      </c>
      <c r="E59" s="119">
        <f t="shared" si="2"/>
        <v>1.6666666666666666E-2</v>
      </c>
    </row>
    <row r="60" spans="1:10" ht="17.25">
      <c r="A60" s="150" t="s">
        <v>49</v>
      </c>
      <c r="B60" s="40">
        <v>58</v>
      </c>
      <c r="C60" s="40" t="s">
        <v>35</v>
      </c>
      <c r="D60" s="40">
        <v>2</v>
      </c>
      <c r="E60" s="119">
        <f t="shared" si="2"/>
        <v>1.6666666666666666E-2</v>
      </c>
    </row>
    <row r="61" spans="1:10" ht="17.25">
      <c r="A61" s="143"/>
      <c r="B61" s="40">
        <v>59</v>
      </c>
      <c r="C61" s="40" t="s">
        <v>35</v>
      </c>
      <c r="D61" s="40">
        <v>2</v>
      </c>
      <c r="E61" s="119">
        <f t="shared" si="2"/>
        <v>1.6666666666666666E-2</v>
      </c>
    </row>
    <row r="62" spans="1:10" ht="17.25">
      <c r="A62" s="143"/>
      <c r="B62" s="40">
        <v>60</v>
      </c>
      <c r="C62" s="40" t="s">
        <v>35</v>
      </c>
      <c r="D62" s="40">
        <v>2</v>
      </c>
      <c r="E62" s="119">
        <f t="shared" si="2"/>
        <v>1.6666666666666666E-2</v>
      </c>
    </row>
    <row r="63" spans="1:10" ht="17.25">
      <c r="A63" s="143"/>
      <c r="B63" s="60">
        <v>61</v>
      </c>
      <c r="C63" s="120" t="s">
        <v>39</v>
      </c>
      <c r="D63" s="60">
        <v>2</v>
      </c>
      <c r="E63" s="121">
        <f t="shared" si="2"/>
        <v>1.6666666666666666E-2</v>
      </c>
    </row>
    <row r="64" spans="1:10" ht="17.25">
      <c r="A64" s="143"/>
      <c r="B64" s="32">
        <v>62</v>
      </c>
      <c r="C64" s="122" t="s">
        <v>41</v>
      </c>
      <c r="D64" s="32">
        <v>2</v>
      </c>
      <c r="E64" s="123">
        <f t="shared" si="2"/>
        <v>1.6666666666666666E-2</v>
      </c>
    </row>
    <row r="65" spans="1:5" ht="17.25">
      <c r="A65" s="150" t="s">
        <v>50</v>
      </c>
      <c r="B65" s="40">
        <v>63</v>
      </c>
      <c r="C65" s="124" t="s">
        <v>35</v>
      </c>
      <c r="D65" s="40">
        <v>2</v>
      </c>
      <c r="E65" s="119">
        <f t="shared" si="2"/>
        <v>1.6666666666666666E-2</v>
      </c>
    </row>
    <row r="66" spans="1:5" ht="17.25">
      <c r="A66" s="143"/>
      <c r="B66" s="60">
        <v>64</v>
      </c>
      <c r="C66" s="60" t="s">
        <v>39</v>
      </c>
      <c r="D66" s="60">
        <v>2</v>
      </c>
      <c r="E66" s="121">
        <f t="shared" si="2"/>
        <v>1.6666666666666666E-2</v>
      </c>
    </row>
    <row r="67" spans="1:5" ht="17.25">
      <c r="A67" s="143"/>
      <c r="B67" s="64">
        <v>65</v>
      </c>
      <c r="C67" s="125" t="s">
        <v>43</v>
      </c>
      <c r="D67" s="64">
        <v>2</v>
      </c>
      <c r="E67" s="126">
        <f t="shared" si="2"/>
        <v>1.6666666666666666E-2</v>
      </c>
    </row>
    <row r="68" spans="1:5" ht="17.25">
      <c r="A68" s="143"/>
      <c r="B68" s="43">
        <v>66</v>
      </c>
      <c r="C68" s="127" t="s">
        <v>37</v>
      </c>
      <c r="D68" s="43">
        <v>2</v>
      </c>
      <c r="E68" s="128">
        <f t="shared" si="2"/>
        <v>1.6666666666666666E-2</v>
      </c>
    </row>
    <row r="69" spans="1:5" ht="17.25">
      <c r="A69" s="143"/>
      <c r="B69" s="62">
        <v>67</v>
      </c>
      <c r="C69" s="129" t="s">
        <v>58</v>
      </c>
      <c r="D69" s="62">
        <v>2</v>
      </c>
      <c r="E69" s="130">
        <f t="shared" si="2"/>
        <v>1.6666666666666666E-2</v>
      </c>
    </row>
    <row r="70" spans="1:5" ht="17.25">
      <c r="A70" s="150" t="s">
        <v>51</v>
      </c>
      <c r="B70" s="40">
        <v>68</v>
      </c>
      <c r="C70" s="124" t="s">
        <v>35</v>
      </c>
      <c r="D70" s="40">
        <v>2</v>
      </c>
      <c r="E70" s="119">
        <f t="shared" si="2"/>
        <v>1.6666666666666666E-2</v>
      </c>
    </row>
    <row r="71" spans="1:5" ht="17.25">
      <c r="A71" s="143"/>
      <c r="B71" s="40">
        <v>69</v>
      </c>
      <c r="C71" s="40" t="s">
        <v>35</v>
      </c>
      <c r="D71" s="40">
        <v>2</v>
      </c>
      <c r="E71" s="119">
        <f t="shared" si="2"/>
        <v>1.6666666666666666E-2</v>
      </c>
    </row>
    <row r="72" spans="1:5" ht="17.25">
      <c r="A72" s="143"/>
      <c r="B72" s="40">
        <v>70</v>
      </c>
      <c r="C72" s="40" t="s">
        <v>35</v>
      </c>
      <c r="D72" s="40">
        <v>2</v>
      </c>
      <c r="E72" s="119">
        <f t="shared" si="2"/>
        <v>1.6666666666666666E-2</v>
      </c>
    </row>
    <row r="73" spans="1:5" ht="17.25">
      <c r="A73" s="143"/>
      <c r="B73" s="40">
        <v>71</v>
      </c>
      <c r="C73" s="40" t="s">
        <v>35</v>
      </c>
      <c r="D73" s="40">
        <v>2</v>
      </c>
      <c r="E73" s="119">
        <f t="shared" si="2"/>
        <v>1.6666666666666666E-2</v>
      </c>
    </row>
    <row r="74" spans="1:5" ht="17.25">
      <c r="A74" s="143"/>
      <c r="B74" s="40">
        <v>72</v>
      </c>
      <c r="C74" s="40" t="s">
        <v>35</v>
      </c>
      <c r="D74" s="40">
        <v>2</v>
      </c>
      <c r="E74" s="119">
        <f t="shared" si="2"/>
        <v>1.6666666666666666E-2</v>
      </c>
    </row>
    <row r="75" spans="1:5" ht="17.25">
      <c r="A75" s="150" t="s">
        <v>64</v>
      </c>
      <c r="B75" s="66">
        <v>73</v>
      </c>
      <c r="C75" s="157" t="s">
        <v>65</v>
      </c>
      <c r="D75" s="66">
        <v>2</v>
      </c>
      <c r="E75" s="131">
        <f t="shared" si="2"/>
        <v>1.6666666666666666E-2</v>
      </c>
    </row>
    <row r="76" spans="1:5" ht="17.25">
      <c r="A76" s="143"/>
      <c r="B76" s="66">
        <v>74</v>
      </c>
      <c r="C76" s="152"/>
      <c r="D76" s="66">
        <v>2</v>
      </c>
      <c r="E76" s="131">
        <f t="shared" si="2"/>
        <v>1.6666666666666666E-2</v>
      </c>
    </row>
    <row r="77" spans="1:5" ht="17.25">
      <c r="A77" s="143"/>
      <c r="B77" s="66">
        <v>75</v>
      </c>
      <c r="C77" s="152"/>
      <c r="D77" s="66">
        <v>2</v>
      </c>
      <c r="E77" s="131">
        <f t="shared" si="2"/>
        <v>1.6666666666666666E-2</v>
      </c>
    </row>
    <row r="78" spans="1:5" ht="17.25">
      <c r="A78" s="143"/>
      <c r="B78" s="66">
        <v>76</v>
      </c>
      <c r="C78" s="152"/>
      <c r="D78" s="66">
        <v>2</v>
      </c>
      <c r="E78" s="131">
        <f t="shared" si="2"/>
        <v>1.6666666666666666E-2</v>
      </c>
    </row>
    <row r="79" spans="1:5" ht="17.25">
      <c r="A79" s="147"/>
      <c r="B79" s="66">
        <v>77</v>
      </c>
      <c r="C79" s="153"/>
      <c r="D79" s="66">
        <v>2</v>
      </c>
      <c r="E79" s="131">
        <f t="shared" si="2"/>
        <v>1.6666666666666666E-2</v>
      </c>
    </row>
    <row r="80" spans="1:5" ht="17.25">
      <c r="A80" s="150" t="s">
        <v>33</v>
      </c>
      <c r="B80" s="39">
        <v>78</v>
      </c>
      <c r="C80" s="156" t="s">
        <v>66</v>
      </c>
      <c r="D80" s="39">
        <v>1</v>
      </c>
      <c r="E80" s="132">
        <f t="shared" si="2"/>
        <v>8.3333333333333332E-3</v>
      </c>
    </row>
    <row r="81" spans="1:5" ht="17.25">
      <c r="A81" s="143"/>
      <c r="B81" s="39">
        <v>79</v>
      </c>
      <c r="C81" s="152"/>
      <c r="D81" s="39">
        <v>1</v>
      </c>
      <c r="E81" s="133">
        <f t="shared" si="2"/>
        <v>8.3333333333333332E-3</v>
      </c>
    </row>
    <row r="82" spans="1:5" ht="17.25">
      <c r="A82" s="143"/>
      <c r="B82" s="39">
        <v>80</v>
      </c>
      <c r="C82" s="152"/>
      <c r="D82" s="39">
        <v>1</v>
      </c>
      <c r="E82" s="133">
        <f t="shared" si="2"/>
        <v>8.3333333333333332E-3</v>
      </c>
    </row>
    <row r="83" spans="1:5" ht="17.25">
      <c r="A83" s="143"/>
      <c r="B83" s="39">
        <v>81</v>
      </c>
      <c r="C83" s="152"/>
      <c r="D83" s="39">
        <v>1</v>
      </c>
      <c r="E83" s="133">
        <f t="shared" si="2"/>
        <v>8.3333333333333332E-3</v>
      </c>
    </row>
    <row r="84" spans="1:5" ht="17.25">
      <c r="A84" s="147"/>
      <c r="B84" s="39">
        <v>82</v>
      </c>
      <c r="C84" s="153"/>
      <c r="D84" s="39">
        <v>1</v>
      </c>
      <c r="E84" s="133">
        <f t="shared" si="2"/>
        <v>8.3333333333333332E-3</v>
      </c>
    </row>
    <row r="85" spans="1:5" ht="17.25">
      <c r="A85" s="117" t="s">
        <v>52</v>
      </c>
      <c r="B85" s="134">
        <v>83</v>
      </c>
      <c r="C85" s="134" t="s">
        <v>60</v>
      </c>
      <c r="D85" s="134">
        <v>15</v>
      </c>
      <c r="E85" s="135">
        <f t="shared" si="2"/>
        <v>0.125</v>
      </c>
    </row>
    <row r="86" spans="1:5" ht="16.5">
      <c r="D86" s="136"/>
      <c r="E86" s="137"/>
    </row>
    <row r="87" spans="1:5" ht="16.5">
      <c r="E87" s="138"/>
    </row>
  </sheetData>
  <mergeCells count="20">
    <mergeCell ref="G1:J1"/>
    <mergeCell ref="E18:E22"/>
    <mergeCell ref="E8:E17"/>
    <mergeCell ref="A80:A84"/>
    <mergeCell ref="C3:C7"/>
    <mergeCell ref="C8:C17"/>
    <mergeCell ref="E3:E7"/>
    <mergeCell ref="C18:C22"/>
    <mergeCell ref="C80:C84"/>
    <mergeCell ref="C75:C79"/>
    <mergeCell ref="A75:A79"/>
    <mergeCell ref="A70:A74"/>
    <mergeCell ref="A65:A69"/>
    <mergeCell ref="A60:A64"/>
    <mergeCell ref="A57:A59"/>
    <mergeCell ref="A1:E1"/>
    <mergeCell ref="A3:A22"/>
    <mergeCell ref="A23:A30"/>
    <mergeCell ref="A31:A45"/>
    <mergeCell ref="A46:A5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王树根-江西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王树根</cp:lastModifiedBy>
  <dcterms:created xsi:type="dcterms:W3CDTF">2026-09-05T14:27:06Z</dcterms:created>
  <dcterms:modified xsi:type="dcterms:W3CDTF">2026-09-05T06:30:21Z</dcterms:modified>
</cp:coreProperties>
</file>
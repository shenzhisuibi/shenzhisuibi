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<sst xmlns="http://schemas.openxmlformats.org/spreadsheetml/2006/main" count="50" uniqueCount="46">
  <si>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2026年江西中考试卷分析-物理（满分80分）</t>
  </si>
  <si>
    <t>2026年江西中考模块总结-物理</t>
  </si>
  <si>
    <t>题型</t>
  </si>
  <si>
    <t>题号</t>
  </si>
  <si>
    <t>知识点</t>
  </si>
  <si>
    <t>分值</t>
  </si>
  <si>
    <t>分值占比</t>
  </si>
  <si>
    <t>序号</t>
  </si>
  <si>
    <t>模块</t>
  </si>
  <si>
    <t>一、填空题（本大题共8小题，每空1分，共16分）</t>
  </si>
  <si>
    <t>声学</t>
  </si>
  <si>
    <t>一</t>
  </si>
  <si>
    <t>力学</t>
  </si>
  <si>
    <t>凸透镜成像</t>
  </si>
  <si>
    <t>二</t>
  </si>
  <si>
    <t>称重法测浮力；二力或多力平衡问题</t>
  </si>
  <si>
    <t>三</t>
  </si>
  <si>
    <t>光学</t>
  </si>
  <si>
    <t>物态变化</t>
  </si>
  <si>
    <t>四</t>
  </si>
  <si>
    <t>热力学</t>
  </si>
  <si>
    <t>机械能；施力物体与受力物体</t>
  </si>
  <si>
    <t>五</t>
  </si>
  <si>
    <t>电磁学</t>
  </si>
  <si>
    <t>杠杆平衡</t>
  </si>
  <si>
    <t>六</t>
  </si>
  <si>
    <t>科学探索</t>
  </si>
  <si>
    <t>电路故障分析</t>
  </si>
  <si>
    <t>总计</t>
  </si>
  <si>
    <t>加热效率的计算；P=W/t的简单计算；计算物体温度变化时的吸放热</t>
  </si>
  <si>
    <t>二、选择题（本大题共6小题，共14分）第9~12小题，每小题只有一个选项是最符合题目要求的，每小题2分；第13、14小题为多项选择，每小题至少有两个选项是符合题目要求的，每小题3分，全部选择正确得3分，选择正确但不全得1分，不选、多选或错选得0分。</t>
  </si>
  <si>
    <t>认识分子；认识原子；星空世界</t>
  </si>
  <si>
    <t>光的反射和折射</t>
  </si>
  <si>
    <t>物质的物理属性</t>
  </si>
  <si>
    <t>伏安法测电阻</t>
  </si>
  <si>
    <t>力学；改变内能的方式；物态变化；分子热运动</t>
  </si>
  <si>
    <t>常见的长度及估测；增大摩擦的方法及生活中的实例；生活中的惯性现象；重心</t>
  </si>
  <si>
    <t>三、计算题（本大题共3小题，第15、16小题各7分，第17小题8分，共22分）</t>
  </si>
  <si>
    <t>计算不便直接测量的固体或液体的体积；量筒(杯)的选择和使用</t>
  </si>
  <si>
    <t>声速的计算；压强公式的简单应用；功的计算和估算；重力的计算与估算</t>
  </si>
  <si>
    <t>动态电路分析；欧姆定律的简单计算，电功率的简单计算</t>
  </si>
  <si>
    <t>四、实验与探究题（本大题共4小题，每小题7分，共28分）</t>
  </si>
  <si>
    <t>托盘天平的使用方法；刻度尺的读数；温度计的使用</t>
  </si>
  <si>
    <t>探究液体压强的影响因素</t>
  </si>
  <si>
    <t>探究串联电路和并联电路中电流的特点</t>
  </si>
  <si>
    <t>探究环形磁体的磁极位置分布；电磁感应现象；磁体的磁极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</si>
</sst>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49" applyFont="1" applyFill="1" applyBorder="1" applyAlignment="1">
      <alignment horizontal="center"/>
    </xf>
    <xf numFmtId="0" fontId="2" fillId="0" borderId="0" xfId="49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/>
    </xf>
    <xf numFmtId="10" fontId="2" fillId="5" borderId="1" xfId="49" applyNumberFormat="1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/>
    </xf>
    <xf numFmtId="0" fontId="2" fillId="6" borderId="1" xfId="49" applyFont="1" applyFill="1" applyBorder="1" applyAlignment="1">
      <alignment horizontal="center" vertical="center"/>
    </xf>
    <xf numFmtId="176" fontId="2" fillId="6" borderId="1" xfId="49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2" fillId="7" borderId="1" xfId="49" applyFont="1" applyFill="1" applyBorder="1" applyAlignment="1">
      <alignment horizontal="center" vertical="center"/>
    </xf>
    <xf numFmtId="10" fontId="2" fillId="7" borderId="1" xfId="49" applyNumberFormat="1" applyFont="1" applyFill="1" applyBorder="1" applyAlignment="1">
      <alignment horizontal="center" vertical="center"/>
    </xf>
    <xf numFmtId="176" fontId="2" fillId="5" borderId="1" xfId="49" applyNumberFormat="1" applyFont="1" applyFill="1" applyBorder="1" applyAlignment="1">
      <alignment horizontal="center" vertical="center"/>
    </xf>
    <xf numFmtId="10" fontId="2" fillId="6" borderId="1" xfId="49" applyNumberFormat="1" applyFont="1" applyFill="1" applyBorder="1" applyAlignment="1">
      <alignment horizontal="center" vertical="center"/>
    </xf>
    <xf numFmtId="176" fontId="2" fillId="7" borderId="1" xfId="3" applyNumberFormat="1" applyFont="1" applyFill="1" applyBorder="1" applyAlignment="1">
      <alignment horizontal="center" vertical="center"/>
    </xf>
    <xf numFmtId="0" fontId="2" fillId="8" borderId="1" xfId="49" applyFont="1" applyFill="1" applyBorder="1" applyAlignment="1">
      <alignment horizontal="center" vertical="center"/>
    </xf>
    <xf numFmtId="10" fontId="2" fillId="8" borderId="1" xfId="49" applyNumberFormat="1" applyFont="1" applyFill="1" applyBorder="1" applyAlignment="1">
      <alignment horizontal="center" vertical="center"/>
    </xf>
    <xf numFmtId="176" fontId="2" fillId="8" borderId="1" xfId="49" applyNumberFormat="1" applyFont="1" applyFill="1" applyBorder="1" applyAlignment="1">
      <alignment horizontal="center" vertical="center"/>
    </xf>
    <xf numFmtId="0" fontId="2" fillId="9" borderId="1" xfId="49" applyFont="1" applyFill="1" applyBorder="1" applyAlignment="1">
      <alignment horizontal="center" vertical="center"/>
    </xf>
    <xf numFmtId="176" fontId="2" fillId="9" borderId="1" xfId="49" applyNumberFormat="1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176" fontId="2" fillId="2" borderId="1" xfId="49" applyNumberFormat="1" applyFont="1" applyFill="1" applyBorder="1" applyAlignment="1">
      <alignment horizontal="center" vertical="center"/>
    </xf>
    <xf numFmtId="10" fontId="2" fillId="9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2" fillId="0" borderId="0" xfId="49" applyFont="1" applyAlignment="1">
      <alignment horizontal="center" vertical="center"/>
    </xf>
    <xf numFmtId="176" fontId="2" fillId="0" borderId="0" xfId="49" applyNumberFormat="1" applyFont="1" applyAlignment="1">
      <alignment horizontal="center" vertical="center"/>
    </xf>
    <xf numFmtId="10" fontId="2" fillId="2" borderId="1" xfId="49" applyNumberFormat="1" applyFont="1" applyFill="1" applyBorder="1" applyAlignment="1">
      <alignment horizontal="center" vertical="center"/>
    </xf>
    <xf numFmtId="10" fontId="2" fillId="0" borderId="0" xfId="49" applyNumberFormat="1" applyFont="1" applyAlignment="1">
      <alignment horizontal="center" vertical="center"/>
    </xf>
    <xf numFmtId="176" fontId="2" fillId="0" borderId="1" xfId="49" applyNumberFormat="1" applyFon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G29" sqref="G29"/>
    </sheetView>
  </sheetViews>
  <sheetFormatPr defaultColWidth="9" defaultRowHeight="14.25"/>
  <cols>
    <col min="1" max="1" width="56" style="1" customWidth="1"/>
    <col min="2" max="2" width="9" style="1"/>
    <col min="3" max="3" width="67.75" style="1" customWidth="1"/>
    <col min="4" max="16384" width="9" style="1"/>
  </cols>
  <sheetData>
    <row r="1" ht="16.5" spans="1:10">
      <c r="A1" s="2" t="s">
        <v>0</v>
      </c>
      <c r="B1" s="2"/>
      <c r="C1" s="2"/>
      <c r="D1" s="2"/>
      <c r="E1" s="2"/>
      <c r="F1" s="3"/>
      <c r="G1" s="2" t="s">
        <v>1</v>
      </c>
      <c r="H1" s="2"/>
      <c r="I1" s="2"/>
      <c r="J1" s="2"/>
    </row>
    <row r="2" ht="16.5" spans="1:10">
      <c r="A2" s="4" t="s">
        <v>2</v>
      </c>
      <c r="B2" s="5" t="s">
        <v>3</v>
      </c>
      <c r="C2" s="5" t="s">
        <v>4</v>
      </c>
      <c r="D2" s="5" t="s">
        <v>5</v>
      </c>
      <c r="E2" s="4" t="s">
        <v>6</v>
      </c>
      <c r="F2" s="3"/>
      <c r="G2" s="5" t="s">
        <v>7</v>
      </c>
      <c r="H2" s="5" t="s">
        <v>8</v>
      </c>
      <c r="I2" s="5" t="s">
        <v>5</v>
      </c>
      <c r="J2" s="5" t="s">
        <v>6</v>
      </c>
    </row>
    <row r="3" ht="16.5" spans="1:10">
      <c r="A3" s="6" t="s">
        <v>9</v>
      </c>
      <c r="B3" s="7">
        <v>1</v>
      </c>
      <c r="C3" s="8" t="s">
        <v>10</v>
      </c>
      <c r="D3" s="8">
        <v>2</v>
      </c>
      <c r="E3" s="9">
        <f>D3/D24</f>
        <v>0.025</v>
      </c>
      <c r="F3" s="3"/>
      <c r="G3" s="10" t="s">
        <v>11</v>
      </c>
      <c r="H3" s="11" t="s">
        <v>12</v>
      </c>
      <c r="I3" s="11">
        <f>D5+D7+D8+D15+D16+D17+D18+D20+D21</f>
        <v>40</v>
      </c>
      <c r="J3" s="12">
        <f>I3/I9</f>
        <v>0.5</v>
      </c>
    </row>
    <row r="4" ht="16.5" spans="1:10">
      <c r="A4" s="13"/>
      <c r="B4" s="7">
        <v>2</v>
      </c>
      <c r="C4" s="14" t="s">
        <v>13</v>
      </c>
      <c r="D4" s="14">
        <v>2</v>
      </c>
      <c r="E4" s="15">
        <f>D4/D24</f>
        <v>0.025</v>
      </c>
      <c r="F4" s="3"/>
      <c r="G4" s="10" t="s">
        <v>14</v>
      </c>
      <c r="H4" s="8" t="s">
        <v>10</v>
      </c>
      <c r="I4" s="8">
        <f>D3</f>
        <v>2</v>
      </c>
      <c r="J4" s="16">
        <f>I4/I9</f>
        <v>0.025</v>
      </c>
    </row>
    <row r="5" ht="16.5" spans="1:10">
      <c r="A5" s="13"/>
      <c r="B5" s="10">
        <v>3</v>
      </c>
      <c r="C5" s="11" t="s">
        <v>15</v>
      </c>
      <c r="D5" s="11">
        <v>2</v>
      </c>
      <c r="E5" s="17">
        <f>D5/D24</f>
        <v>0.025</v>
      </c>
      <c r="F5" s="3"/>
      <c r="G5" s="10" t="s">
        <v>16</v>
      </c>
      <c r="H5" s="14" t="s">
        <v>17</v>
      </c>
      <c r="I5" s="14">
        <f>D4+D12</f>
        <v>4</v>
      </c>
      <c r="J5" s="18">
        <f>I5/I9</f>
        <v>0.05</v>
      </c>
    </row>
    <row r="6" ht="16.5" spans="1:10">
      <c r="A6" s="13"/>
      <c r="B6" s="10">
        <v>4</v>
      </c>
      <c r="C6" s="19" t="s">
        <v>18</v>
      </c>
      <c r="D6" s="19">
        <v>2</v>
      </c>
      <c r="E6" s="20">
        <f>D6/D24</f>
        <v>0.025</v>
      </c>
      <c r="F6" s="3"/>
      <c r="G6" s="10" t="s">
        <v>19</v>
      </c>
      <c r="H6" s="19" t="s">
        <v>20</v>
      </c>
      <c r="I6" s="19">
        <f>D6+D10+D11</f>
        <v>6</v>
      </c>
      <c r="J6" s="21">
        <f>I6/I9</f>
        <v>0.075</v>
      </c>
    </row>
    <row r="7" ht="16.5" spans="1:10">
      <c r="A7" s="13"/>
      <c r="B7" s="10">
        <v>5</v>
      </c>
      <c r="C7" s="11" t="s">
        <v>21</v>
      </c>
      <c r="D7" s="11">
        <v>2</v>
      </c>
      <c r="E7" s="17">
        <f>D7/D24</f>
        <v>0.025</v>
      </c>
      <c r="F7" s="3"/>
      <c r="G7" s="10" t="s">
        <v>22</v>
      </c>
      <c r="H7" s="22" t="s">
        <v>23</v>
      </c>
      <c r="I7" s="22">
        <f>D9+D13+D14+D19+D22+D23</f>
        <v>28</v>
      </c>
      <c r="J7" s="23">
        <f>I7/I9</f>
        <v>0.35</v>
      </c>
    </row>
    <row r="8" ht="16.5" spans="1:10">
      <c r="A8" s="13"/>
      <c r="B8" s="10">
        <v>6</v>
      </c>
      <c r="C8" s="11" t="s">
        <v>24</v>
      </c>
      <c r="D8" s="11">
        <v>2</v>
      </c>
      <c r="E8" s="17">
        <f>D8/D24</f>
        <v>0.025</v>
      </c>
      <c r="F8" s="3"/>
      <c r="G8" s="10" t="s">
        <v>25</v>
      </c>
      <c r="H8" s="24" t="s">
        <v>26</v>
      </c>
      <c r="I8" s="24">
        <f>D11+D13</f>
        <v>4</v>
      </c>
      <c r="J8" s="25">
        <f>I8/I9</f>
        <v>0.05</v>
      </c>
    </row>
    <row r="9" ht="16.5" spans="1:10">
      <c r="A9" s="13"/>
      <c r="B9" s="10">
        <v>7</v>
      </c>
      <c r="C9" s="22" t="s">
        <v>27</v>
      </c>
      <c r="D9" s="22">
        <v>2</v>
      </c>
      <c r="E9" s="26">
        <f>D9/D24</f>
        <v>0.025</v>
      </c>
      <c r="F9" s="3"/>
      <c r="G9" s="10" t="s">
        <v>28</v>
      </c>
      <c r="H9" s="7"/>
      <c r="I9" s="7">
        <f>SUM(I3:I7)</f>
        <v>80</v>
      </c>
      <c r="J9" s="27">
        <f>SUM(J3:J7)</f>
        <v>1</v>
      </c>
    </row>
    <row r="10" ht="16.5" spans="1:10">
      <c r="A10" s="28"/>
      <c r="B10" s="10">
        <v>8</v>
      </c>
      <c r="C10" s="19" t="s">
        <v>29</v>
      </c>
      <c r="D10" s="19">
        <v>2</v>
      </c>
      <c r="E10" s="20">
        <f>D10/D24</f>
        <v>0.025</v>
      </c>
      <c r="F10" s="3"/>
      <c r="G10" s="3"/>
      <c r="H10" s="29"/>
      <c r="I10" s="29"/>
      <c r="J10" s="30"/>
    </row>
    <row r="11" ht="16.5" spans="1:10">
      <c r="A11" s="6" t="s">
        <v>30</v>
      </c>
      <c r="B11" s="10">
        <v>9</v>
      </c>
      <c r="C11" s="24" t="s">
        <v>31</v>
      </c>
      <c r="D11" s="24">
        <v>2</v>
      </c>
      <c r="E11" s="31">
        <f>D11/D24</f>
        <v>0.025</v>
      </c>
      <c r="F11" s="3"/>
      <c r="G11" s="3"/>
      <c r="H11" s="29"/>
      <c r="I11" s="29"/>
      <c r="J11" s="30"/>
    </row>
    <row r="12" ht="16.5" spans="1:10">
      <c r="A12" s="13"/>
      <c r="B12" s="10">
        <v>10</v>
      </c>
      <c r="C12" s="14" t="s">
        <v>32</v>
      </c>
      <c r="D12" s="14">
        <v>2</v>
      </c>
      <c r="E12" s="15">
        <f>D12/D24</f>
        <v>0.025</v>
      </c>
      <c r="F12" s="3"/>
      <c r="G12" s="3"/>
      <c r="H12" s="3"/>
      <c r="I12" s="3"/>
      <c r="J12" s="30"/>
    </row>
    <row r="13" ht="16.5" spans="1:10">
      <c r="A13" s="13"/>
      <c r="B13" s="10">
        <v>11</v>
      </c>
      <c r="C13" s="24" t="s">
        <v>33</v>
      </c>
      <c r="D13" s="24">
        <v>2</v>
      </c>
      <c r="E13" s="31">
        <f>D13/D24</f>
        <v>0.025</v>
      </c>
      <c r="F13" s="3"/>
      <c r="G13" s="3"/>
      <c r="H13" s="29"/>
      <c r="I13" s="29"/>
      <c r="J13" s="30"/>
    </row>
    <row r="14" ht="16.5" spans="1:10">
      <c r="A14" s="13"/>
      <c r="B14" s="10">
        <v>12</v>
      </c>
      <c r="C14" s="22" t="s">
        <v>34</v>
      </c>
      <c r="D14" s="22">
        <v>2</v>
      </c>
      <c r="E14" s="26">
        <f>D14/D24</f>
        <v>0.025</v>
      </c>
      <c r="F14" s="3"/>
      <c r="G14" s="3"/>
      <c r="H14" s="29"/>
      <c r="I14" s="29"/>
      <c r="J14" s="30"/>
    </row>
    <row r="15" ht="16.5" spans="1:10">
      <c r="A15" s="13"/>
      <c r="B15" s="10">
        <v>13</v>
      </c>
      <c r="C15" s="11" t="s">
        <v>35</v>
      </c>
      <c r="D15" s="11">
        <v>3</v>
      </c>
      <c r="E15" s="17">
        <f>D15/D24</f>
        <v>0.0375</v>
      </c>
      <c r="F15" s="3"/>
      <c r="G15" s="3"/>
      <c r="H15" s="3"/>
      <c r="I15" s="29"/>
      <c r="J15" s="32"/>
    </row>
    <row r="16" ht="16.5" spans="1:10">
      <c r="A16" s="28"/>
      <c r="B16" s="10">
        <v>14</v>
      </c>
      <c r="C16" s="11" t="s">
        <v>36</v>
      </c>
      <c r="D16" s="11">
        <v>3</v>
      </c>
      <c r="E16" s="17">
        <f>D16/D24</f>
        <v>0.0375</v>
      </c>
      <c r="F16" s="3"/>
      <c r="G16" s="3"/>
      <c r="H16" s="3"/>
      <c r="I16" s="3"/>
      <c r="J16" s="3"/>
    </row>
    <row r="17" ht="16.5" spans="1:6">
      <c r="A17" s="6" t="s">
        <v>37</v>
      </c>
      <c r="B17" s="10">
        <v>15</v>
      </c>
      <c r="C17" s="11" t="s">
        <v>38</v>
      </c>
      <c r="D17" s="11">
        <v>7</v>
      </c>
      <c r="E17" s="17">
        <f>D17/D24</f>
        <v>0.0875</v>
      </c>
      <c r="F17" s="3"/>
    </row>
    <row r="18" ht="16.5" spans="1:6">
      <c r="A18" s="13"/>
      <c r="B18" s="10">
        <v>16</v>
      </c>
      <c r="C18" s="11" t="s">
        <v>39</v>
      </c>
      <c r="D18" s="11">
        <v>7</v>
      </c>
      <c r="E18" s="17">
        <f>D18/D24</f>
        <v>0.0875</v>
      </c>
      <c r="F18" s="3"/>
    </row>
    <row r="19" ht="16.5" spans="1:6">
      <c r="A19" s="28"/>
      <c r="B19" s="10">
        <v>17</v>
      </c>
      <c r="C19" s="22" t="s">
        <v>40</v>
      </c>
      <c r="D19" s="22">
        <v>8</v>
      </c>
      <c r="E19" s="26">
        <f>D19/D24</f>
        <v>0.1</v>
      </c>
      <c r="F19" s="3"/>
    </row>
    <row r="20" ht="16.5" spans="1:6">
      <c r="A20" s="6" t="s">
        <v>41</v>
      </c>
      <c r="B20" s="10">
        <v>18</v>
      </c>
      <c r="C20" s="11" t="s">
        <v>42</v>
      </c>
      <c r="D20" s="11">
        <v>7</v>
      </c>
      <c r="E20" s="17">
        <f>D20/D24</f>
        <v>0.0875</v>
      </c>
      <c r="F20" s="3"/>
    </row>
    <row r="21" ht="16.5" spans="1:6">
      <c r="A21" s="13"/>
      <c r="B21" s="10">
        <v>19</v>
      </c>
      <c r="C21" s="11" t="s">
        <v>43</v>
      </c>
      <c r="D21" s="11">
        <v>7</v>
      </c>
      <c r="E21" s="17">
        <f>D21/D24</f>
        <v>0.0875</v>
      </c>
      <c r="F21" s="3"/>
    </row>
    <row r="22" ht="16.5" spans="1:6">
      <c r="A22" s="13"/>
      <c r="B22" s="7">
        <v>20</v>
      </c>
      <c r="C22" s="22" t="s">
        <v>44</v>
      </c>
      <c r="D22" s="22">
        <v>7</v>
      </c>
      <c r="E22" s="26">
        <f>D22/D24</f>
        <v>0.0875</v>
      </c>
      <c r="F22" s="3"/>
    </row>
    <row r="23" ht="16.5" spans="1:6">
      <c r="A23" s="28"/>
      <c r="B23" s="7">
        <v>21</v>
      </c>
      <c r="C23" s="22" t="s">
        <v>45</v>
      </c>
      <c r="D23" s="22">
        <v>7</v>
      </c>
      <c r="E23" s="26">
        <f>D23/D24</f>
        <v>0.0875</v>
      </c>
      <c r="F23" s="3"/>
    </row>
    <row r="24" ht="16.5" spans="1:6">
      <c r="A24" s="10"/>
      <c r="B24" s="10" t="s">
        <v>28</v>
      </c>
      <c r="C24" s="10"/>
      <c r="D24" s="10">
        <f>SUM(D3:D23)</f>
        <v>80</v>
      </c>
      <c r="E24" s="33">
        <f>SUM(E3:E23)</f>
        <v>1</v>
      </c>
    </row>
  </sheetData>
  <autoFilter xmlns:etc="http://www.wps.cn/officeDocument/2017/etCustomData" ref="A2:J24" etc:filterBottomFollowUsedRange="0">
    <extLst/>
  </autoFilter>
  <mergeCells count="6">
    <mergeCell ref="A1:E1"/>
    <mergeCell ref="G1:J1"/>
    <mergeCell ref="A3:A10"/>
    <mergeCell ref="A11:A16"/>
    <mergeCell ref="A17:A19"/>
    <mergeCell ref="A20:A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应苍斌</dc:creator>
  <cp:lastModifiedBy>孙菊2</cp:lastModifiedBy>
  <dcterms:created xsi:type="dcterms:W3CDTF">2023-05-12T11:15:00Z</dcterms:created>
  <dcterms:modified xsi:type="dcterms:W3CDTF">2026-08-23T09:45:53Z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423FAF42EBA94EAF9FBA37E99A3C75F8_13</vt:lpwstr>
  </property>
  <property fmtid="{D5CDD505-2E9C-101B-9397-08002B2CF9AE}" pid="4" name="CalculationRule">
    <vt:i4>0</vt:i4>
  </property>
</Properties>
</file>
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40" windowHeight="111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<sst xmlns="http://schemas.openxmlformats.org/spreadsheetml/2006/main" count="62" uniqueCount="57">
  <si>
    <t>2026年江西中考试卷分析-化学（满分70分）</t>
  </si>
  <si>
    <t>2026年江西中考模块总结-化学</t>
  </si>
  <si>
    <t>题型</t>
  </si>
  <si>
    <t>题号</t>
  </si>
  <si>
    <t>知识点</t>
  </si>
  <si>
    <t>分值</t>
  </si>
  <si>
    <t>分值占比</t>
  </si>
  <si>
    <t>序号</t>
  </si>
  <si>
    <t>模块</t>
  </si>
  <si>
    <t>一、选择题（共10小题，1-5每题1分，6-10每题2分，共15分）</t>
  </si>
  <si>
    <t>元素的分类</t>
  </si>
  <si>
    <t>一</t>
  </si>
  <si>
    <t>化学与环境</t>
  </si>
  <si>
    <t>二</t>
  </si>
  <si>
    <t>化学与健康</t>
  </si>
  <si>
    <t>化学元素与人体健康</t>
  </si>
  <si>
    <t>三</t>
  </si>
  <si>
    <t>实验操作与设计</t>
  </si>
  <si>
    <t>爱护水资源</t>
  </si>
  <si>
    <t>四</t>
  </si>
  <si>
    <t>物质构成与化学变化</t>
  </si>
  <si>
    <t>实验仪器</t>
  </si>
  <si>
    <t>五</t>
  </si>
  <si>
    <t>碳和碳的氧化物</t>
  </si>
  <si>
    <t>化学肥料</t>
  </si>
  <si>
    <t>六</t>
  </si>
  <si>
    <t>金属和金属材料</t>
  </si>
  <si>
    <t>元素周期表</t>
  </si>
  <si>
    <t>七</t>
  </si>
  <si>
    <t>溶液</t>
  </si>
  <si>
    <t>碳单质的性质与用途</t>
  </si>
  <si>
    <t>八</t>
  </si>
  <si>
    <t>酸碱盐</t>
  </si>
  <si>
    <t>质量守恒定律</t>
  </si>
  <si>
    <t>九</t>
  </si>
  <si>
    <t>化学与生活</t>
  </si>
  <si>
    <t>二氧化碳的性质</t>
  </si>
  <si>
    <t>十</t>
  </si>
  <si>
    <t>气体的制取</t>
  </si>
  <si>
    <t>二、选择填充题（共3小题，每小题2分，选择和填充各1分，共6分）</t>
  </si>
  <si>
    <t>化石燃料与新能源</t>
  </si>
  <si>
    <t>十一</t>
  </si>
  <si>
    <t>科学探究</t>
  </si>
  <si>
    <t>溶解度曲线</t>
  </si>
  <si>
    <t>十二</t>
  </si>
  <si>
    <t>工艺流程与计算</t>
  </si>
  <si>
    <t>实验设计与评价</t>
  </si>
  <si>
    <t>总计</t>
  </si>
  <si>
    <t>三、填空与说明题（共4小题，共23分）</t>
  </si>
  <si>
    <t>金属材料</t>
  </si>
  <si>
    <t>工艺流程</t>
  </si>
  <si>
    <t>四、实验与探究题（共2小题，共16分）</t>
  </si>
  <si>
    <t>气体的制取与性质</t>
  </si>
  <si>
    <t>科学探究实验</t>
  </si>
  <si>
    <t>五、综合计算题（共1小题，共10分）</t>
  </si>
  <si>
    <t>化学计算与综合应用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</si>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</sst>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8" borderId="8" applyNumberFormat="0" applyAlignment="0" applyProtection="0">
      <alignment vertical="center"/>
    </xf>
    <xf numFmtId="0" fontId="13" fillId="19" borderId="9" applyNumberFormat="0" applyAlignment="0" applyProtection="0">
      <alignment vertical="center"/>
    </xf>
    <xf numFmtId="0" fontId="14" fillId="19" borderId="8" applyNumberFormat="0" applyAlignment="0" applyProtection="0">
      <alignment vertical="center"/>
    </xf>
    <xf numFmtId="0" fontId="15" fillId="20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0" fillId="0" borderId="0"/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49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49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/>
    </xf>
    <xf numFmtId="0" fontId="2" fillId="6" borderId="1" xfId="49" applyFont="1" applyFill="1" applyBorder="1" applyAlignment="1">
      <alignment horizontal="center" vertical="center"/>
    </xf>
    <xf numFmtId="0" fontId="2" fillId="7" borderId="1" xfId="49" applyFont="1" applyFill="1" applyBorder="1" applyAlignment="1">
      <alignment horizontal="center" vertical="center"/>
    </xf>
    <xf numFmtId="0" fontId="2" fillId="0" borderId="1" xfId="49" applyFont="1" applyBorder="1" applyAlignment="1">
      <alignment horizontal="center"/>
    </xf>
    <xf numFmtId="0" fontId="2" fillId="8" borderId="1" xfId="49" applyFont="1" applyFill="1" applyBorder="1" applyAlignment="1">
      <alignment horizontal="center" vertical="center"/>
    </xf>
    <xf numFmtId="0" fontId="2" fillId="9" borderId="1" xfId="49" applyFont="1" applyFill="1" applyBorder="1" applyAlignment="1">
      <alignment horizontal="center" vertical="center"/>
    </xf>
    <xf numFmtId="0" fontId="2" fillId="10" borderId="1" xfId="49" applyFont="1" applyFill="1" applyBorder="1" applyAlignment="1">
      <alignment horizontal="center" vertical="center"/>
    </xf>
    <xf numFmtId="0" fontId="2" fillId="11" borderId="1" xfId="49" applyFont="1" applyFill="1" applyBorder="1" applyAlignment="1">
      <alignment horizontal="center" vertical="center"/>
    </xf>
    <xf numFmtId="0" fontId="2" fillId="12" borderId="1" xfId="49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2" fillId="4" borderId="1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2" fillId="13" borderId="1" xfId="49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2" fillId="14" borderId="1" xfId="49" applyFont="1" applyFill="1" applyBorder="1" applyAlignment="1">
      <alignment horizontal="center" vertical="center"/>
    </xf>
    <xf numFmtId="0" fontId="2" fillId="0" borderId="2" xfId="49" applyFont="1" applyBorder="1" applyAlignment="1">
      <alignment horizontal="center" vertical="center" wrapText="1"/>
    </xf>
    <xf numFmtId="0" fontId="2" fillId="15" borderId="1" xfId="49" applyFont="1" applyFill="1" applyBorder="1" applyAlignment="1">
      <alignment horizontal="center"/>
    </xf>
    <xf numFmtId="0" fontId="2" fillId="0" borderId="4" xfId="49" applyFont="1" applyBorder="1" applyAlignment="1">
      <alignment horizontal="center" vertical="center"/>
    </xf>
    <xf numFmtId="0" fontId="2" fillId="16" borderId="1" xfId="49" applyFont="1" applyFill="1" applyBorder="1" applyAlignment="1">
      <alignment horizontal="center"/>
    </xf>
    <xf numFmtId="0" fontId="2" fillId="0" borderId="1" xfId="49" applyFont="1" applyBorder="1" applyAlignment="1">
      <alignment horizontal="center" wrapText="1"/>
    </xf>
    <xf numFmtId="0" fontId="2" fillId="14" borderId="1" xfId="49" applyFont="1" applyFill="1" applyBorder="1" applyAlignment="1">
      <alignment horizontal="center"/>
    </xf>
    <xf numFmtId="0" fontId="2" fillId="0" borderId="0" xfId="49" applyFont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10" fontId="2" fillId="6" borderId="1" xfId="49" applyNumberFormat="1" applyFont="1" applyFill="1" applyBorder="1" applyAlignment="1">
      <alignment horizontal="center" vertical="center"/>
    </xf>
    <xf numFmtId="10" fontId="2" fillId="7" borderId="1" xfId="49" applyNumberFormat="1" applyFont="1" applyFill="1" applyBorder="1" applyAlignment="1">
      <alignment horizontal="center" vertical="center"/>
    </xf>
    <xf numFmtId="10" fontId="2" fillId="8" borderId="1" xfId="49" applyNumberFormat="1" applyFont="1" applyFill="1" applyBorder="1" applyAlignment="1">
      <alignment horizontal="center" vertical="center"/>
    </xf>
    <xf numFmtId="10" fontId="2" fillId="9" borderId="1" xfId="49" applyNumberFormat="1" applyFont="1" applyFill="1" applyBorder="1" applyAlignment="1">
      <alignment horizontal="center" vertical="center"/>
    </xf>
    <xf numFmtId="10" fontId="2" fillId="10" borderId="1" xfId="49" applyNumberFormat="1" applyFont="1" applyFill="1" applyBorder="1" applyAlignment="1">
      <alignment horizontal="center" vertical="center"/>
    </xf>
    <xf numFmtId="10" fontId="2" fillId="11" borderId="1" xfId="49" applyNumberFormat="1" applyFont="1" applyFill="1" applyBorder="1" applyAlignment="1">
      <alignment horizontal="center" vertical="center"/>
    </xf>
    <xf numFmtId="0" fontId="2" fillId="15" borderId="1" xfId="49" applyFont="1" applyFill="1" applyBorder="1" applyAlignment="1">
      <alignment horizontal="center" vertical="center"/>
    </xf>
    <xf numFmtId="10" fontId="2" fillId="12" borderId="1" xfId="49" applyNumberFormat="1" applyFont="1" applyFill="1" applyBorder="1" applyAlignment="1">
      <alignment horizontal="center" vertical="center"/>
    </xf>
    <xf numFmtId="10" fontId="2" fillId="4" borderId="1" xfId="49" applyNumberFormat="1" applyFont="1" applyFill="1" applyBorder="1" applyAlignment="1">
      <alignment horizontal="center" vertical="center"/>
    </xf>
    <xf numFmtId="10" fontId="2" fillId="13" borderId="1" xfId="49" applyNumberFormat="1" applyFont="1" applyFill="1" applyBorder="1" applyAlignment="1">
      <alignment horizontal="center" vertical="center"/>
    </xf>
    <xf numFmtId="10" fontId="2" fillId="14" borderId="1" xfId="49" applyNumberFormat="1" applyFont="1" applyFill="1" applyBorder="1" applyAlignment="1">
      <alignment horizontal="center" vertical="center"/>
    </xf>
    <xf numFmtId="10" fontId="2" fillId="15" borderId="1" xfId="49" applyNumberFormat="1" applyFont="1" applyFill="1" applyBorder="1" applyAlignment="1">
      <alignment horizontal="center" vertical="center"/>
    </xf>
    <xf numFmtId="10" fontId="2" fillId="16" borderId="1" xfId="49" applyNumberFormat="1" applyFont="1" applyFill="1" applyBorder="1" applyAlignment="1">
      <alignment horizontal="center" vertical="center"/>
    </xf>
    <xf numFmtId="10" fontId="2" fillId="0" borderId="1" xfId="49" applyNumberFormat="1" applyFont="1" applyBorder="1" applyAlignment="1">
      <alignment horizontal="center"/>
    </xf>
    <xf numFmtId="176" fontId="2" fillId="7" borderId="1" xfId="49" applyNumberFormat="1" applyFont="1" applyFill="1" applyBorder="1" applyAlignment="1">
      <alignment horizontal="center" vertical="center"/>
    </xf>
    <xf numFmtId="176" fontId="2" fillId="8" borderId="1" xfId="49" applyNumberFormat="1" applyFont="1" applyFill="1" applyBorder="1" applyAlignment="1">
      <alignment horizontal="center" vertical="center"/>
    </xf>
    <xf numFmtId="176" fontId="2" fillId="9" borderId="1" xfId="49" applyNumberFormat="1" applyFont="1" applyFill="1" applyBorder="1" applyAlignment="1">
      <alignment horizontal="center" vertical="center"/>
    </xf>
    <xf numFmtId="176" fontId="2" fillId="6" borderId="1" xfId="49" applyNumberFormat="1" applyFont="1" applyFill="1" applyBorder="1" applyAlignment="1">
      <alignment horizontal="center" vertical="center"/>
    </xf>
    <xf numFmtId="176" fontId="2" fillId="11" borderId="1" xfId="49" applyNumberFormat="1" applyFont="1" applyFill="1" applyBorder="1" applyAlignment="1">
      <alignment horizontal="center" vertical="center"/>
    </xf>
    <xf numFmtId="176" fontId="2" fillId="13" borderId="1" xfId="49" applyNumberFormat="1" applyFont="1" applyFill="1" applyBorder="1" applyAlignment="1">
      <alignment horizontal="center" vertical="center"/>
    </xf>
    <xf numFmtId="176" fontId="2" fillId="12" borderId="1" xfId="49" applyNumberFormat="1" applyFont="1" applyFill="1" applyBorder="1" applyAlignment="1">
      <alignment horizontal="center" vertical="center"/>
    </xf>
    <xf numFmtId="176" fontId="2" fillId="10" borderId="1" xfId="49" applyNumberFormat="1" applyFont="1" applyFill="1" applyBorder="1" applyAlignment="1">
      <alignment horizontal="center" vertical="center"/>
    </xf>
    <xf numFmtId="176" fontId="2" fillId="4" borderId="1" xfId="49" applyNumberFormat="1" applyFont="1" applyFill="1" applyBorder="1" applyAlignment="1">
      <alignment horizontal="center" vertical="center"/>
    </xf>
    <xf numFmtId="176" fontId="2" fillId="15" borderId="1" xfId="49" applyNumberFormat="1" applyFont="1" applyFill="1" applyBorder="1" applyAlignment="1">
      <alignment horizontal="center" vertical="center"/>
    </xf>
    <xf numFmtId="10" fontId="2" fillId="16" borderId="1" xfId="49" applyNumberFormat="1" applyFont="1" applyFill="1" applyBorder="1" applyAlignment="1">
      <alignment horizontal="center"/>
    </xf>
    <xf numFmtId="10" fontId="2" fillId="14" borderId="1" xfId="49" applyNumberFormat="1" applyFont="1" applyFill="1" applyBorder="1" applyAlignment="1">
      <alignment horizontal="center"/>
    </xf>
    <xf numFmtId="176" fontId="2" fillId="0" borderId="1" xfId="49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workbookViewId="0">
      <selection activeCell="H21" sqref="H21"/>
    </sheetView>
  </sheetViews>
  <sheetFormatPr defaultColWidth="9" defaultRowHeight="17.6"/>
  <cols>
    <col min="1" max="1" width="56" style="1" customWidth="1"/>
    <col min="2" max="2" width="9" style="1"/>
    <col min="3" max="3" width="67.7211538461538" style="1" customWidth="1"/>
    <col min="4" max="4" width="9" style="1"/>
    <col min="5" max="5" width="11" style="1"/>
    <col min="6" max="7" width="9" style="1"/>
    <col min="8" max="8" width="27.2403846153846" style="1" customWidth="1"/>
    <col min="9" max="9" width="9" style="1"/>
    <col min="10" max="10" width="16.8461538461538" style="1"/>
    <col min="11" max="16384" width="9" style="1"/>
  </cols>
  <sheetData>
    <row r="1" spans="1:10">
      <c r="A1" s="2" t="s">
        <v>0</v>
      </c>
      <c r="B1" s="2"/>
      <c r="C1" s="2"/>
      <c r="D1" s="2"/>
      <c r="E1" s="2"/>
      <c r="F1" s="27"/>
      <c r="G1" s="2" t="s">
        <v>1</v>
      </c>
      <c r="H1" s="2"/>
      <c r="I1" s="2"/>
      <c r="J1" s="2"/>
    </row>
    <row r="2" spans="1:12">
      <c r="A2" s="3" t="s">
        <v>2</v>
      </c>
      <c r="B2" s="4" t="s">
        <v>3</v>
      </c>
      <c r="C2" s="4" t="s">
        <v>4</v>
      </c>
      <c r="D2" s="4" t="s">
        <v>5</v>
      </c>
      <c r="E2" s="28" t="s">
        <v>6</v>
      </c>
      <c r="F2" s="27"/>
      <c r="G2" s="4" t="s">
        <v>7</v>
      </c>
      <c r="H2" s="4" t="s">
        <v>8</v>
      </c>
      <c r="I2" s="4" t="s">
        <v>5</v>
      </c>
      <c r="J2" s="4" t="s">
        <v>6</v>
      </c>
      <c r="L2"/>
    </row>
    <row r="3" spans="1:12">
      <c r="A3" s="5" t="s">
        <v>9</v>
      </c>
      <c r="B3" s="6">
        <v>1</v>
      </c>
      <c r="C3" s="7" t="s">
        <v>10</v>
      </c>
      <c r="D3" s="7">
        <v>1</v>
      </c>
      <c r="E3" s="29">
        <f>D3/D23</f>
        <v>0.0142857142857143</v>
      </c>
      <c r="F3" s="27"/>
      <c r="G3" s="9" t="s">
        <v>11</v>
      </c>
      <c r="H3" s="8" t="s">
        <v>12</v>
      </c>
      <c r="I3" s="8">
        <v>4</v>
      </c>
      <c r="J3" s="43">
        <f>I3/I15</f>
        <v>0.0571428571428571</v>
      </c>
      <c r="L3"/>
    </row>
    <row r="4" spans="1:12">
      <c r="A4" s="5"/>
      <c r="B4" s="6">
        <v>2</v>
      </c>
      <c r="C4" s="8" t="s">
        <v>12</v>
      </c>
      <c r="D4" s="8">
        <v>1</v>
      </c>
      <c r="E4" s="30">
        <f>D4/D23</f>
        <v>0.0142857142857143</v>
      </c>
      <c r="F4" s="27"/>
      <c r="G4" s="9" t="s">
        <v>13</v>
      </c>
      <c r="H4" s="10" t="s">
        <v>14</v>
      </c>
      <c r="I4" s="10">
        <v>1</v>
      </c>
      <c r="J4" s="44">
        <f>I4/I15</f>
        <v>0.0142857142857143</v>
      </c>
      <c r="L4"/>
    </row>
    <row r="5" spans="1:12">
      <c r="A5" s="5"/>
      <c r="B5" s="9">
        <v>3</v>
      </c>
      <c r="C5" s="10" t="s">
        <v>15</v>
      </c>
      <c r="D5" s="10">
        <v>1</v>
      </c>
      <c r="E5" s="31">
        <f>D5/D23</f>
        <v>0.0142857142857143</v>
      </c>
      <c r="F5" s="27"/>
      <c r="G5" s="9" t="s">
        <v>16</v>
      </c>
      <c r="H5" s="11" t="s">
        <v>17</v>
      </c>
      <c r="I5" s="11">
        <v>3</v>
      </c>
      <c r="J5" s="45">
        <f>I5/I15</f>
        <v>0.0428571428571429</v>
      </c>
      <c r="L5"/>
    </row>
    <row r="6" spans="1:12">
      <c r="A6" s="5"/>
      <c r="B6" s="9">
        <v>4</v>
      </c>
      <c r="C6" s="8" t="s">
        <v>18</v>
      </c>
      <c r="D6" s="8">
        <v>1</v>
      </c>
      <c r="E6" s="30">
        <f>D6/D23</f>
        <v>0.0142857142857143</v>
      </c>
      <c r="F6" s="27"/>
      <c r="G6" s="9" t="s">
        <v>19</v>
      </c>
      <c r="H6" s="7" t="s">
        <v>20</v>
      </c>
      <c r="I6" s="7">
        <v>5</v>
      </c>
      <c r="J6" s="46">
        <f>I6/I15</f>
        <v>0.0714285714285714</v>
      </c>
      <c r="L6"/>
    </row>
    <row r="7" spans="1:12">
      <c r="A7" s="5"/>
      <c r="B7" s="9">
        <v>5</v>
      </c>
      <c r="C7" s="11" t="s">
        <v>21</v>
      </c>
      <c r="D7" s="11">
        <v>1</v>
      </c>
      <c r="E7" s="32">
        <f>D7/D23</f>
        <v>0.0142857142857143</v>
      </c>
      <c r="F7" s="27"/>
      <c r="G7" s="9" t="s">
        <v>22</v>
      </c>
      <c r="H7" s="13" t="s">
        <v>23</v>
      </c>
      <c r="I7" s="13">
        <v>4</v>
      </c>
      <c r="J7" s="47">
        <f>I7/I15</f>
        <v>0.0571428571428571</v>
      </c>
      <c r="L7"/>
    </row>
    <row r="8" spans="1:12">
      <c r="A8" s="5"/>
      <c r="B8" s="9">
        <v>6</v>
      </c>
      <c r="C8" s="12" t="s">
        <v>24</v>
      </c>
      <c r="D8" s="12">
        <v>2</v>
      </c>
      <c r="E8" s="33">
        <f>D8/D23</f>
        <v>0.0285714285714286</v>
      </c>
      <c r="F8" s="27"/>
      <c r="G8" s="9" t="s">
        <v>25</v>
      </c>
      <c r="H8" s="18" t="s">
        <v>26</v>
      </c>
      <c r="I8" s="18">
        <v>6</v>
      </c>
      <c r="J8" s="48">
        <f>I8/I15</f>
        <v>0.0857142857142857</v>
      </c>
      <c r="L8"/>
    </row>
    <row r="9" spans="1:10">
      <c r="A9" s="5"/>
      <c r="B9" s="9">
        <v>7</v>
      </c>
      <c r="C9" s="7" t="s">
        <v>27</v>
      </c>
      <c r="D9" s="7">
        <v>2</v>
      </c>
      <c r="E9" s="29">
        <f>D9/D23</f>
        <v>0.0285714285714286</v>
      </c>
      <c r="F9" s="27"/>
      <c r="G9" s="9" t="s">
        <v>28</v>
      </c>
      <c r="H9" s="14" t="s">
        <v>29</v>
      </c>
      <c r="I9" s="14">
        <v>2</v>
      </c>
      <c r="J9" s="49">
        <f>I9/I15</f>
        <v>0.0285714285714286</v>
      </c>
    </row>
    <row r="10" spans="1:10">
      <c r="A10" s="5"/>
      <c r="B10" s="9">
        <v>8</v>
      </c>
      <c r="C10" s="13" t="s">
        <v>30</v>
      </c>
      <c r="D10" s="13">
        <v>2</v>
      </c>
      <c r="E10" s="34">
        <f>D10/D23</f>
        <v>0.0285714285714286</v>
      </c>
      <c r="F10" s="27"/>
      <c r="G10" s="9" t="s">
        <v>31</v>
      </c>
      <c r="H10" s="12" t="s">
        <v>32</v>
      </c>
      <c r="I10" s="12">
        <v>9</v>
      </c>
      <c r="J10" s="50">
        <f>I10/I15</f>
        <v>0.128571428571429</v>
      </c>
    </row>
    <row r="11" spans="1:10">
      <c r="A11" s="5"/>
      <c r="B11" s="9">
        <v>9</v>
      </c>
      <c r="C11" s="7" t="s">
        <v>33</v>
      </c>
      <c r="D11" s="7">
        <v>2</v>
      </c>
      <c r="E11" s="29">
        <f>D11/D23</f>
        <v>0.0285714285714286</v>
      </c>
      <c r="F11" s="27"/>
      <c r="G11" s="9" t="s">
        <v>34</v>
      </c>
      <c r="H11" s="16" t="s">
        <v>35</v>
      </c>
      <c r="I11" s="16">
        <v>5</v>
      </c>
      <c r="J11" s="51">
        <f>I11/I15</f>
        <v>0.0714285714285714</v>
      </c>
    </row>
    <row r="12" spans="1:10">
      <c r="A12" s="5"/>
      <c r="B12" s="9">
        <v>10</v>
      </c>
      <c r="C12" s="13" t="s">
        <v>36</v>
      </c>
      <c r="D12" s="13">
        <v>2</v>
      </c>
      <c r="E12" s="34">
        <f>D12/D23</f>
        <v>0.0285714285714286</v>
      </c>
      <c r="F12" s="27"/>
      <c r="G12" s="9" t="s">
        <v>37</v>
      </c>
      <c r="H12" s="35" t="s">
        <v>38</v>
      </c>
      <c r="I12" s="35">
        <v>7</v>
      </c>
      <c r="J12" s="52">
        <f>I12/I15</f>
        <v>0.1</v>
      </c>
    </row>
    <row r="13" spans="1:10">
      <c r="A13" s="5" t="s">
        <v>39</v>
      </c>
      <c r="B13" s="9">
        <v>11</v>
      </c>
      <c r="C13" s="8" t="s">
        <v>40</v>
      </c>
      <c r="D13" s="8">
        <v>2</v>
      </c>
      <c r="E13" s="30">
        <f>D13/D23</f>
        <v>0.0285714285714286</v>
      </c>
      <c r="F13" s="27"/>
      <c r="G13" s="9" t="s">
        <v>41</v>
      </c>
      <c r="H13" s="24" t="s">
        <v>42</v>
      </c>
      <c r="I13" s="24">
        <v>9</v>
      </c>
      <c r="J13" s="53">
        <f>I13/I15</f>
        <v>0.128571428571429</v>
      </c>
    </row>
    <row r="14" spans="1:10">
      <c r="A14" s="5"/>
      <c r="B14" s="9">
        <v>12</v>
      </c>
      <c r="C14" s="14" t="s">
        <v>43</v>
      </c>
      <c r="D14" s="14">
        <v>2</v>
      </c>
      <c r="E14" s="36">
        <f>D14/D23</f>
        <v>0.0285714285714286</v>
      </c>
      <c r="F14" s="27"/>
      <c r="G14" s="9" t="s">
        <v>44</v>
      </c>
      <c r="H14" s="26" t="s">
        <v>45</v>
      </c>
      <c r="I14" s="26">
        <v>15</v>
      </c>
      <c r="J14" s="54">
        <f>I14/I15</f>
        <v>0.214285714285714</v>
      </c>
    </row>
    <row r="15" spans="1:10">
      <c r="A15" s="5"/>
      <c r="B15" s="9">
        <v>13</v>
      </c>
      <c r="C15" s="11" t="s">
        <v>46</v>
      </c>
      <c r="D15" s="11">
        <v>2</v>
      </c>
      <c r="E15" s="32">
        <f>D15/D23</f>
        <v>0.0285714285714286</v>
      </c>
      <c r="F15" s="27"/>
      <c r="G15" s="9" t="s">
        <v>47</v>
      </c>
      <c r="H15" s="6"/>
      <c r="I15" s="6">
        <f>SUM(I3:I14)</f>
        <v>70</v>
      </c>
      <c r="J15" s="55">
        <f>SUM(J3:J14)</f>
        <v>1</v>
      </c>
    </row>
    <row r="16" spans="1:10">
      <c r="A16" s="15" t="s">
        <v>48</v>
      </c>
      <c r="B16" s="9">
        <v>14</v>
      </c>
      <c r="C16" s="16" t="s">
        <v>35</v>
      </c>
      <c r="D16" s="16">
        <v>5</v>
      </c>
      <c r="E16" s="37">
        <f>D16/D23</f>
        <v>0.0714285714285714</v>
      </c>
      <c r="F16" s="27"/>
      <c r="G16" s="27"/>
      <c r="H16" s="27"/>
      <c r="I16" s="27"/>
      <c r="J16" s="27"/>
    </row>
    <row r="17" spans="1:6">
      <c r="A17" s="17"/>
      <c r="B17" s="9">
        <v>15</v>
      </c>
      <c r="C17" s="18" t="s">
        <v>49</v>
      </c>
      <c r="D17" s="18">
        <v>6</v>
      </c>
      <c r="E17" s="38">
        <f>D17/D23</f>
        <v>0.0857142857142857</v>
      </c>
      <c r="F17" s="27"/>
    </row>
    <row r="18" spans="1:6">
      <c r="A18" s="17"/>
      <c r="B18" s="9">
        <v>16</v>
      </c>
      <c r="C18" s="12" t="s">
        <v>32</v>
      </c>
      <c r="D18" s="12">
        <v>7</v>
      </c>
      <c r="E18" s="33">
        <f>D18/D23</f>
        <v>0.1</v>
      </c>
      <c r="F18" s="27"/>
    </row>
    <row r="19" spans="1:6">
      <c r="A19" s="19"/>
      <c r="B19" s="9">
        <v>17</v>
      </c>
      <c r="C19" s="20" t="s">
        <v>50</v>
      </c>
      <c r="D19" s="20">
        <v>5</v>
      </c>
      <c r="E19" s="39">
        <f>D19/D23</f>
        <v>0.0714285714285714</v>
      </c>
      <c r="F19" s="27"/>
    </row>
    <row r="20" spans="1:5">
      <c r="A20" s="21" t="s">
        <v>51</v>
      </c>
      <c r="B20" s="9">
        <v>18</v>
      </c>
      <c r="C20" s="22" t="s">
        <v>52</v>
      </c>
      <c r="D20" s="22">
        <v>7</v>
      </c>
      <c r="E20" s="40">
        <f>D20/D23</f>
        <v>0.1</v>
      </c>
    </row>
    <row r="21" spans="1:5">
      <c r="A21" s="23"/>
      <c r="B21" s="9">
        <v>19</v>
      </c>
      <c r="C21" s="24" t="s">
        <v>53</v>
      </c>
      <c r="D21" s="24">
        <v>9</v>
      </c>
      <c r="E21" s="41">
        <f>D21/D23</f>
        <v>0.128571428571429</v>
      </c>
    </row>
    <row r="22" spans="1:5">
      <c r="A22" s="25" t="s">
        <v>54</v>
      </c>
      <c r="B22" s="9">
        <v>20</v>
      </c>
      <c r="C22" s="26" t="s">
        <v>55</v>
      </c>
      <c r="D22" s="26">
        <v>10</v>
      </c>
      <c r="E22" s="39">
        <f>D22/D23</f>
        <v>0.142857142857143</v>
      </c>
    </row>
    <row r="23" spans="1:5">
      <c r="A23" s="9"/>
      <c r="B23" s="9" t="s">
        <v>56</v>
      </c>
      <c r="C23" s="9"/>
      <c r="D23" s="9">
        <f>SUM(D3:D22)</f>
        <v>70</v>
      </c>
      <c r="E23" s="42">
        <f>SUM(E3:E22)</f>
        <v>1</v>
      </c>
    </row>
  </sheetData>
  <mergeCells count="6">
    <mergeCell ref="A1:E1"/>
    <mergeCell ref="G1:J1"/>
    <mergeCell ref="A3:A12"/>
    <mergeCell ref="A13:A15"/>
    <mergeCell ref="A16:A19"/>
    <mergeCell ref="A20:A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应苍斌</dc:creator>
  <cp:lastModifiedBy>李佳维43</cp:lastModifiedBy>
  <dcterms:created xsi:type="dcterms:W3CDTF">2023-05-13T03:15:00Z</dcterms:created>
  <dcterms:modified xsi:type="dcterms:W3CDTF">2026-08-24T01:08:08Z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423FAF42EBA94EAF9FBA37E99A3C75F8_13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